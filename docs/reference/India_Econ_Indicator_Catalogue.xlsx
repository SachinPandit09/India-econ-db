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3"/>
    <sheet name="SUMMARY" sheetId="2" state="visible" r:id="rId4"/>
    <sheet name="CATALOGUE" sheetId="3" state="visible" r:id="rId5"/>
    <sheet name="MOSPI_VERIFIED" sheetId="4" state="visible" r:id="rId6"/>
    <sheet name="NAS_CODES" sheetId="5" state="visible" r:id="rId7"/>
    <sheet name="RBI_API_39" sheetId="6" state="visible" r:id="rId8"/>
    <sheet name="YAHOO_TICKERS" sheetId="7" state="visible" r:id="rId9"/>
    <sheet name="FUTURE_PROOFING" sheetId="8" state="visible" r:id="rId10"/>
  </sheets>
  <definedNames>
    <definedName function="false" hidden="true" localSheetId="2" name="_xlnm._FilterDatabase" vbProcedure="false">CATALOGUE!$A$1:$P$207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<sst xmlns="http://schemas.openxmlformats.org/spreadsheetml/2006/main" count="4327" uniqueCount="1586">
  <si>
    <t xml:space="preserve">How to use this workbook</t>
  </si>
  <si>
    <t xml:space="preserve">Purpose</t>
  </si>
  <si>
    <t xml:space="preserve">The full universe of Indian economic indicators the tracker can collect, with how to get each one and how much history exists. Each CATALOGUE row is an indicator FAMILY – one row can expand into dozens or thousands of individual series (states × sectors × items × base years).</t>
  </si>
  <si>
    <t xml:space="preserve">What to do</t>
  </si>
  <si>
    <t xml:space="preserve">In CATALOGUE, fill the yellow 'Your decision' column: Include (build it), Later (next phase), Skip. Add comments in 'Team notes'. The SUMMARY sheet updates automatically.</t>
  </si>
  <si>
    <t xml:space="preserve">Example</t>
  </si>
  <si>
    <t xml:space="preserve">CPI (base 2024) – All-India general index → Your decision: Include · Team notes: 'Core dashboard; need rural/urban split'.</t>
  </si>
  <si>
    <t xml:space="preserve">Priority</t>
  </si>
  <si>
    <t xml:space="preserve">P1 = core macro dashboard · P2 = extended analysis · P3 = deep / reference / infrequent surveys.</t>
  </si>
  <si>
    <t xml:space="preserve">Build tier</t>
  </si>
  <si>
    <t xml:space="preserve">T1 = MoSPI official API (easiest) · T1b = other APIs (data.gov.in, Yahoo, World Bank, IMF…) · T2 = structured Excel/CSV downloads · T3 = scrapers &amp; PDF parsing · T4 = paid/licensed or manual once-a-year.</t>
  </si>
  <si>
    <t xml:space="preserve">Verification</t>
  </si>
  <si>
    <t xml:space="preserve">Verified by your test = you ran it and saw the data · Partly verified = one of its sources verified (e.g. Yahoo fallback), the official one not yet · Listed by API = the API lists it, history not checked yet (mostly one-off surveys) · Code verified, name to map = NAS code works but its name couldn't be listed · Not yet tested = known source, not yet tried · Depends on inputs = computed by us.</t>
  </si>
  <si>
    <t xml:space="preserve">History</t>
  </si>
  <si>
    <t xml:space="preserve">For verified MoSPI rows this is exactly what your test found. For other rows it is an expectation to be checked.</t>
  </si>
  <si>
    <t xml:space="preserve">Sheets</t>
  </si>
  <si>
    <t xml:space="preserve">SUMMARY (live counts) · CATALOGUE (the master list) · MOSPI_VERIFIED (your test results) · NAS_CODES (GDP code availability) · RBI_API_39 (RBI data via MoSPI) · YAHOO_TICKERS (market tickers) · FUTURE_PROOFING (design principles).</t>
  </si>
  <si>
    <t xml:space="preserve">Licensing</t>
  </si>
  <si>
    <t xml:space="preserve">Internal team use only. PMI and private real-estate data are licensed – use public headlines only. Yahoo Finance is unofficial; keep it internal and don't redistribute.</t>
  </si>
  <si>
    <t xml:space="preserve">India Economic Database – Indicator Universe</t>
  </si>
  <si>
    <t xml:space="preserve">FinSkeptics internal use only · updated 11-Sep-2026 with all test results · counts are live formulas over CATALOGUE</t>
  </si>
  <si>
    <t xml:space="preserve">By theme</t>
  </si>
  <si>
    <t xml:space="preserve">Category</t>
  </si>
  <si>
    <t xml:space="preserve">Indicator families</t>
  </si>
  <si>
    <t xml:space="preserve">Included</t>
  </si>
  <si>
    <t xml:space="preserve">Later</t>
  </si>
  <si>
    <t xml:space="preserve">Skipped</t>
  </si>
  <si>
    <t xml:space="preserve">01 National Accounts</t>
  </si>
  <si>
    <t xml:space="preserve">02 Prices &amp; Inflation</t>
  </si>
  <si>
    <t xml:space="preserve">03 Industry &amp; Production</t>
  </si>
  <si>
    <t xml:space="preserve">04 Services &amp; High-Frequency Activity</t>
  </si>
  <si>
    <t xml:space="preserve">05 Labour &amp; Employment</t>
  </si>
  <si>
    <t xml:space="preserve">06 Money, Banking &amp; Credit</t>
  </si>
  <si>
    <t xml:space="preserve">07 Financial Markets</t>
  </si>
  <si>
    <t xml:space="preserve">08 External Sector</t>
  </si>
  <si>
    <t xml:space="preserve">09 Fiscal</t>
  </si>
  <si>
    <t xml:space="preserve">10 Agriculture &amp; Rural</t>
  </si>
  <si>
    <t xml:space="preserve">11 Energy</t>
  </si>
  <si>
    <t xml:space="preserve">12 Real Estate &amp; Construction</t>
  </si>
  <si>
    <t xml:space="preserve">13 Surveys &amp; Expectations</t>
  </si>
  <si>
    <t xml:space="preserve">14 Social &amp; Demographic</t>
  </si>
  <si>
    <t xml:space="preserve">15 States &amp; Regional</t>
  </si>
  <si>
    <t xml:space="preserve">16 Global Context</t>
  </si>
  <si>
    <t xml:space="preserve">17 Derived Analytics (computed by us)</t>
  </si>
  <si>
    <t xml:space="preserve">Total</t>
  </si>
  <si>
    <t xml:space="preserve">By priority</t>
  </si>
  <si>
    <t xml:space="preserve">P1</t>
  </si>
  <si>
    <t xml:space="preserve">P2</t>
  </si>
  <si>
    <t xml:space="preserve">P3</t>
  </si>
  <si>
    <t xml:space="preserve">By access method</t>
  </si>
  <si>
    <t xml:space="preserve">API – free key</t>
  </si>
  <si>
    <t xml:space="preserve">API – no key</t>
  </si>
  <si>
    <t xml:space="preserve">API – official package</t>
  </si>
  <si>
    <t xml:space="preserve">API – unofficial</t>
  </si>
  <si>
    <t xml:space="preserve">Derived (computed)</t>
  </si>
  <si>
    <t xml:space="preserve">Download (Excel/CSV)</t>
  </si>
  <si>
    <t xml:space="preserve">Manual (annual)</t>
  </si>
  <si>
    <t xml:space="preserve">PDF parse</t>
  </si>
  <si>
    <t xml:space="preserve">Paid / licensed</t>
  </si>
  <si>
    <t xml:space="preserve">Scrape (HTML)</t>
  </si>
  <si>
    <t xml:space="preserve">By build tier</t>
  </si>
  <si>
    <t xml:space="preserve">T1</t>
  </si>
  <si>
    <t xml:space="preserve">T1b</t>
  </si>
  <si>
    <t xml:space="preserve">T2</t>
  </si>
  <si>
    <t xml:space="preserve">T3</t>
  </si>
  <si>
    <t xml:space="preserve">T4</t>
  </si>
  <si>
    <t xml:space="preserve">By verification status</t>
  </si>
  <si>
    <t xml:space="preserve">Code verified, name to map</t>
  </si>
  <si>
    <t xml:space="preserve">Depends on inputs</t>
  </si>
  <si>
    <t xml:space="preserve">Listed by API – history not checked</t>
  </si>
  <si>
    <t xml:space="preserve">Not yet tested</t>
  </si>
  <si>
    <t xml:space="preserve">Partly verified</t>
  </si>
  <si>
    <t xml:space="preserve">Verified by your test</t>
  </si>
  <si>
    <t xml:space="preserve">ID</t>
  </si>
  <si>
    <t xml:space="preserve">Theme</t>
  </si>
  <si>
    <t xml:space="preserve">Indicator (family)</t>
  </si>
  <si>
    <t xml:space="preserve">Key breakdowns</t>
  </si>
  <si>
    <t xml:space="preserve">Frequency</t>
  </si>
  <si>
    <t xml:space="preserve">Unit</t>
  </si>
  <si>
    <t xml:space="preserve">Source agency</t>
  </si>
  <si>
    <t xml:space="preserve">Access method</t>
  </si>
  <si>
    <t xml:space="preserve">Access detail</t>
  </si>
  <si>
    <t xml:space="preserve">Notes</t>
  </si>
  <si>
    <t xml:space="preserve">Your decision</t>
  </si>
  <si>
    <t xml:space="preserve">Team notes</t>
  </si>
  <si>
    <t xml:space="preserve">01-001</t>
  </si>
  <si>
    <t xml:space="preserve">GDP at current &amp; constant prices</t>
  </si>
  <si>
    <t xml:space="preserve">Annual, quarterly; estimate stage (advance/provisional/revised)</t>
  </si>
  <si>
    <t xml:space="preserve">Q, A</t>
  </si>
  <si>
    <t xml:space="preserve">₹ crore</t>
  </si>
  <si>
    <t xml:space="preserve">MoSPI – NSO</t>
  </si>
  <si>
    <t xml:space="preserve">esankhyiki NAS (codes 1–22), base 2022-23 + 2011-12</t>
  </si>
  <si>
    <t xml:space="preserve">Base 2011-12: FY2011-12→FY2025-26 (annual &amp; quarterly). Base 2022-23: FY2022-23→FY2025-26 annual, quarterly to FY2026-27 Q1</t>
  </si>
  <si>
    <t xml:space="preserve">2022-23 back series (history on new base) not yet released – your test returned no data; expected by Dec 2026</t>
  </si>
  <si>
    <t xml:space="preserve">01-002</t>
  </si>
  <si>
    <t xml:space="preserve">Gross Value Added by industry</t>
  </si>
  <si>
    <t xml:space="preserve">8 industries, 18 sub-industries</t>
  </si>
  <si>
    <t xml:space="preserve">NAS indicator_code 1</t>
  </si>
  <si>
    <t xml:space="preserve">Your GDP sample confirmed 15 industry and 18 sub-industry labels</t>
  </si>
  <si>
    <t xml:space="preserve">01-003</t>
  </si>
  <si>
    <t xml:space="preserve">GVA by institutional sector</t>
  </si>
  <si>
    <t xml:space="preserve">Public/private non-financial corps, financial corps, government, households (7)</t>
  </si>
  <si>
    <t xml:space="preserve">A</t>
  </si>
  <si>
    <t xml:space="preserve">NAS indicator_code 1 (institutional_sector field)</t>
  </si>
  <si>
    <t xml:space="preserve">Annual only (per sample)</t>
  </si>
  <si>
    <t xml:space="preserve">01-004</t>
  </si>
  <si>
    <t xml:space="preserve">Private Final Consumption Expenditure (PFCE)</t>
  </si>
  <si>
    <t xml:space="preserve">By purpose (annual)</t>
  </si>
  <si>
    <t xml:space="preserve">NAS (code to map once list endpoint recovers)</t>
  </si>
  <si>
    <t xml:space="preserve">NAS indicator-list endpoint was returning HTTP 500 during your test</t>
  </si>
  <si>
    <t xml:space="preserve">01-005</t>
  </si>
  <si>
    <t xml:space="preserve">Government Final Consumption Expenditure (GFCE)</t>
  </si>
  <si>
    <t xml:space="preserve">NAS (code to map)</t>
  </si>
  <si>
    <t xml:space="preserve">01-006</t>
  </si>
  <si>
    <t xml:space="preserve">Gross Fixed Capital Formation (GFCF)</t>
  </si>
  <si>
    <t xml:space="preserve">By asset / institutional sector (annual)</t>
  </si>
  <si>
    <t xml:space="preserve">01-007</t>
  </si>
  <si>
    <t xml:space="preserve">Exports &amp; imports of goods and services (NA basis)</t>
  </si>
  <si>
    <t xml:space="preserve">01-008</t>
  </si>
  <si>
    <t xml:space="preserve">Change in stocks &amp; valuables</t>
  </si>
  <si>
    <t xml:space="preserve">Annual</t>
  </si>
  <si>
    <t xml:space="preserve">01-009</t>
  </si>
  <si>
    <t xml:space="preserve">Gross / Net National Income (GNI, NNI)</t>
  </si>
  <si>
    <t xml:space="preserve">01-010</t>
  </si>
  <si>
    <t xml:space="preserve">Per capita Net National Income</t>
  </si>
  <si>
    <t xml:space="preserve">₹</t>
  </si>
  <si>
    <t xml:space="preserve">01-011</t>
  </si>
  <si>
    <t xml:space="preserve">Gross Domestic Saving &amp; saving rate</t>
  </si>
  <si>
    <t xml:space="preserve">By institutional sector</t>
  </si>
  <si>
    <t xml:space="preserve">₹ crore, % of GDP</t>
  </si>
  <si>
    <t xml:space="preserve">01-012</t>
  </si>
  <si>
    <t xml:space="preserve">Gross Capital Formation by industry / sector</t>
  </si>
  <si>
    <t xml:space="preserve">01-013</t>
  </si>
  <si>
    <t xml:space="preserve">Consumption of fixed capital</t>
  </si>
  <si>
    <t xml:space="preserve">01-014</t>
  </si>
  <si>
    <t xml:space="preserve">GDP deflator</t>
  </si>
  <si>
    <t xml:space="preserve">Implicit price deflator</t>
  </si>
  <si>
    <t xml:space="preserve">Index</t>
  </si>
  <si>
    <t xml:space="preserve">Computed from NAS</t>
  </si>
  <si>
    <t xml:space="preserve">current ÷ constant price GDP</t>
  </si>
  <si>
    <t xml:space="preserve">02-001</t>
  </si>
  <si>
    <t xml:space="preserve">CPI (base 2024) – All-India general index &amp; inflation</t>
  </si>
  <si>
    <t xml:space="preserve">Rural / Urban / Combined</t>
  </si>
  <si>
    <t xml:space="preserve">M</t>
  </si>
  <si>
    <t xml:space="preserve">Index; % YoY</t>
  </si>
  <si>
    <t xml:space="preserve">CPI base_year=2024 (API returns index AND inflation)</t>
  </si>
  <si>
    <t xml:space="preserve">New series live; your sample holds Jul-2026</t>
  </si>
  <si>
    <t xml:space="preserve">Launched Feb 2026</t>
  </si>
  <si>
    <t xml:space="preserve">02-002</t>
  </si>
  <si>
    <t xml:space="preserve">CPI (2024) by division</t>
  </si>
  <si>
    <t xml:space="preserve">13 divisions (food &amp; beverages, housing, transport…) × sector</t>
  </si>
  <si>
    <t xml:space="preserve">CPI level=Group</t>
  </si>
  <si>
    <t xml:space="preserve">Same as above</t>
  </si>
  <si>
    <t xml:space="preserve">02-003</t>
  </si>
  <si>
    <t xml:space="preserve">CPI (2024) groups, classes, sub-classes</t>
  </si>
  <si>
    <t xml:space="preserve">43 groups, 92 classes, 162 sub-classes</t>
  </si>
  <si>
    <t xml:space="preserve">CPI level=Group/Item</t>
  </si>
  <si>
    <t xml:space="preserve">Counts from your sample</t>
  </si>
  <si>
    <t xml:space="preserve">02-004</t>
  </si>
  <si>
    <t xml:space="preserve">CPI (2024) items</t>
  </si>
  <si>
    <t xml:space="preserve">358 items (667 codes) × sector</t>
  </si>
  <si>
    <t xml:space="preserve">CPI level=Item</t>
  </si>
  <si>
    <t xml:space="preserve">STORAGE: one month at full state×item detail exceeded 5,000 rows – decide detail level</t>
  </si>
  <si>
    <t xml:space="preserve">02-005</t>
  </si>
  <si>
    <t xml:space="preserve">CPI (2024) state-wise</t>
  </si>
  <si>
    <t xml:space="preserve">36 States/UTs × sector × division</t>
  </si>
  <si>
    <t xml:space="preserve">CPI state filter</t>
  </si>
  <si>
    <t xml:space="preserve">02-006</t>
  </si>
  <si>
    <t xml:space="preserve">CPI (base 2012) historical series</t>
  </si>
  <si>
    <t xml:space="preserve">Groups &amp; items; states; sectors</t>
  </si>
  <si>
    <t xml:space="preserve">CPI base_year=2012</t>
  </si>
  <si>
    <t xml:space="preserve">Groups 2011→2025; items 2014→2025</t>
  </si>
  <si>
    <t xml:space="preserve">Needed for long history; join to 2024 base only via official linking factor</t>
  </si>
  <si>
    <t xml:space="preserve">02-007</t>
  </si>
  <si>
    <t xml:space="preserve">CPI (base 2010) older series</t>
  </si>
  <si>
    <t xml:space="preserve">CPI base_year=2010</t>
  </si>
  <si>
    <t xml:space="preserve">2011→2014</t>
  </si>
  <si>
    <t xml:space="preserve">02-008</t>
  </si>
  <si>
    <t xml:space="preserve">CPI food &amp; beverages inflation</t>
  </si>
  <si>
    <t xml:space="preserve">% YoY</t>
  </si>
  <si>
    <t xml:space="preserve">CPI division 01</t>
  </si>
  <si>
    <t xml:space="preserve">As CPI 2024 + 2012</t>
  </si>
  <si>
    <t xml:space="preserve">02-009</t>
  </si>
  <si>
    <t xml:space="preserve">Core CPI (ex food &amp; fuel)</t>
  </si>
  <si>
    <t xml:space="preserve">Computed from CPI weights</t>
  </si>
  <si>
    <t xml:space="preserve">Exclusion index from division indices + weights</t>
  </si>
  <si>
    <t xml:space="preserve">Not published officially – compute consistently</t>
  </si>
  <si>
    <t xml:space="preserve">02-010</t>
  </si>
  <si>
    <t xml:space="preserve">CPI for Agricultural &amp; Rural Labourers (CPI-AL / RL)</t>
  </si>
  <si>
    <t xml:space="preserve">General &amp; group index; states</t>
  </si>
  <si>
    <t xml:space="preserve">Labour Bureau via MoSPI</t>
  </si>
  <si>
    <t xml:space="preserve">CPIALRL indicator 1, 2</t>
  </si>
  <si>
    <t xml:space="preserve">Base 1986-87 &amp; 2019; years 1999-2000→2026</t>
  </si>
  <si>
    <t xml:space="preserve">02-011</t>
  </si>
  <si>
    <t xml:space="preserve">CPI for Industrial Workers (CPI-IW, base 2016)</t>
  </si>
  <si>
    <t xml:space="preserve">88 centres, groups</t>
  </si>
  <si>
    <t xml:space="preserve">Labour Bureau</t>
  </si>
  <si>
    <t xml:space="preserve">labourbureau.gov.in monthly release</t>
  </si>
  <si>
    <t xml:space="preserve">Expected long (verify)</t>
  </si>
  <si>
    <t xml:space="preserve">02-012</t>
  </si>
  <si>
    <t xml:space="preserve">WPI (base 2022-23) headline &amp; inflation</t>
  </si>
  <si>
    <t xml:space="preserve">Primary, Fuel &amp; power, Manufactured</t>
  </si>
  <si>
    <t xml:space="preserve">OEA (DPIIT) via MoSPI</t>
  </si>
  <si>
    <t xml:space="preserve">WPI base_year=2022-23</t>
  </si>
  <si>
    <t xml:space="preserve">2023→2026</t>
  </si>
  <si>
    <t xml:space="preserve">New series from Apr-2023</t>
  </si>
  <si>
    <t xml:space="preserve">02-013</t>
  </si>
  <si>
    <t xml:space="preserve">WPI commodity-level indices</t>
  </si>
  <si>
    <t xml:space="preserve">All commodities × major groups</t>
  </si>
  <si>
    <t xml:space="preserve">WPI series filter</t>
  </si>
  <si>
    <t xml:space="preserve">02-014</t>
  </si>
  <si>
    <t xml:space="preserve">WPI (base 2011-12) historical</t>
  </si>
  <si>
    <t xml:space="preserve">WPI base_year=2011-12</t>
  </si>
  <si>
    <t xml:space="preserve">2012→2026</t>
  </si>
  <si>
    <t xml:space="preserve">Link to new base with OEA linking factor</t>
  </si>
  <si>
    <t xml:space="preserve">02-015</t>
  </si>
  <si>
    <t xml:space="preserve">WPI (base 2004-05, 1993-94) older series</t>
  </si>
  <si>
    <t xml:space="preserve">WPI older base_year</t>
  </si>
  <si>
    <t xml:space="preserve">1993-94 base: 1994→2010 · 2004-05 base: 2005→2017</t>
  </si>
  <si>
    <t xml:space="preserve">Enables history back to the 1990s</t>
  </si>
  <si>
    <t xml:space="preserve">02-016</t>
  </si>
  <si>
    <t xml:space="preserve">WPI Food Index</t>
  </si>
  <si>
    <t xml:space="preserve">OEA (DPIIT)</t>
  </si>
  <si>
    <t xml:space="preserve">eaindustry.nic.in</t>
  </si>
  <si>
    <t xml:space="preserve">Expected (verify)</t>
  </si>
  <si>
    <t xml:space="preserve">02-017</t>
  </si>
  <si>
    <t xml:space="preserve">Producer Price Index (PPI) – new</t>
  </si>
  <si>
    <t xml:space="preserve">Output PPI, input PPI (trial), services PPI (quarterly)</t>
  </si>
  <si>
    <t xml:space="preserve">M, Q</t>
  </si>
  <si>
    <t xml:space="preserve">Short (launched 2026)</t>
  </si>
  <si>
    <t xml:space="preserve">02-018</t>
  </si>
  <si>
    <t xml:space="preserve">Retail &amp; wholesale prices of 22 essential commodities</t>
  </si>
  <si>
    <t xml:space="preserve">~550 centres</t>
  </si>
  <si>
    <t xml:space="preserve">D</t>
  </si>
  <si>
    <t xml:space="preserve">₹/kg, ₹/litre</t>
  </si>
  <si>
    <t xml:space="preserve">Dept. of Consumer Affairs – Price Monitoring Cell</t>
  </si>
  <si>
    <t xml:space="preserve">DoCA price monitoring site</t>
  </si>
  <si>
    <t xml:space="preserve">Tomato/onion/potato, pulses, edible oils…</t>
  </si>
  <si>
    <t xml:space="preserve">02-019</t>
  </si>
  <si>
    <t xml:space="preserve">Mandi (APMC) prices &amp; arrivals</t>
  </si>
  <si>
    <t xml:space="preserve">Commodity × variety × market</t>
  </si>
  <si>
    <t xml:space="preserve">₹/quintal</t>
  </si>
  <si>
    <t xml:space="preserve">Agmarknet via data.gov.in</t>
  </si>
  <si>
    <t xml:space="preserve">Resources 9ef84268-d588-465a-a308-a864a43d0070 (daily); variety-wise 35985678-… (full ID to copy)</t>
  </si>
  <si>
    <t xml:space="preserve">API returns the current day only (6,612 rows on 11-Sep-2026) – daily capture builds history</t>
  </si>
  <si>
    <t xml:space="preserve">02-020</t>
  </si>
  <si>
    <t xml:space="preserve">Retail petrol, diesel, LPG, ATF prices</t>
  </si>
  <si>
    <t xml:space="preserve">Metros</t>
  </si>
  <si>
    <t xml:space="preserve">D, M</t>
  </si>
  <si>
    <t xml:space="preserve">₹/litre, ₹/cylinder</t>
  </si>
  <si>
    <t xml:space="preserve">PPAC / oil marketing companies</t>
  </si>
  <si>
    <t xml:space="preserve">ppac.gov.in price data</t>
  </si>
  <si>
    <t xml:space="preserve">02-021</t>
  </si>
  <si>
    <t xml:space="preserve">Indian basket crude oil price</t>
  </si>
  <si>
    <t xml:space="preserve">US$/bbl</t>
  </si>
  <si>
    <t xml:space="preserve">PPAC</t>
  </si>
  <si>
    <t xml:space="preserve">ppac.gov.in</t>
  </si>
  <si>
    <t xml:space="preserve">02-022</t>
  </si>
  <si>
    <t xml:space="preserve">Gold &amp; silver domestic prices</t>
  </si>
  <si>
    <t xml:space="preserve">₹/10g, ₹/kg</t>
  </si>
  <si>
    <t xml:space="preserve">IBJA</t>
  </si>
  <si>
    <t xml:space="preserve">ibjarates.com</t>
  </si>
  <si>
    <t xml:space="preserve">Verify</t>
  </si>
  <si>
    <t xml:space="preserve">Fallback: Yahoo GC=F / SI=F × USD/INR</t>
  </si>
  <si>
    <t xml:space="preserve">03-001</t>
  </si>
  <si>
    <t xml:space="preserve">IIP (base 2022-23) general index &amp; growth</t>
  </si>
  <si>
    <t xml:space="preserve">IIP base_year=2022-23 Monthly/Annually</t>
  </si>
  <si>
    <t xml:space="preserve">Monthly 2023→2026; annual FY2023-24→FY2025-26</t>
  </si>
  <si>
    <t xml:space="preserve">03-002</t>
  </si>
  <si>
    <t xml:space="preserve">IIP sectoral</t>
  </si>
  <si>
    <t xml:space="preserve">Mining, Manufacturing, Electricity</t>
  </si>
  <si>
    <t xml:space="preserve">IIP</t>
  </si>
  <si>
    <t xml:space="preserve">As above</t>
  </si>
  <si>
    <t xml:space="preserve">03-003</t>
  </si>
  <si>
    <t xml:space="preserve">IIP use-based</t>
  </si>
  <si>
    <t xml:space="preserve">Primary, Capital, Intermediate, Infra/Construction, Consumer durables, Consumer non-durables</t>
  </si>
  <si>
    <t xml:space="preserve">03-004</t>
  </si>
  <si>
    <t xml:space="preserve">IIP manufacturing by industry (NIC 2-digit)</t>
  </si>
  <si>
    <t xml:space="preserve">~23 industries</t>
  </si>
  <si>
    <t xml:space="preserve">03-005</t>
  </si>
  <si>
    <t xml:space="preserve">IIP (base 2011-12) historical</t>
  </si>
  <si>
    <t xml:space="preserve">Same breakdowns</t>
  </si>
  <si>
    <t xml:space="preserve">IIP base_year=2011-12</t>
  </si>
  <si>
    <t xml:space="preserve">Monthly 2012→2026; annual FY2012-13→FY2025-26</t>
  </si>
  <si>
    <t xml:space="preserve">03-006</t>
  </si>
  <si>
    <t xml:space="preserve">IIP (base 2004-05, 1993-94) older series</t>
  </si>
  <si>
    <t xml:space="preserve">IIP older base_year</t>
  </si>
  <si>
    <t xml:space="preserve">1993-94 base: 1994→2011 · 2004-05 base: 2005→2017</t>
  </si>
  <si>
    <t xml:space="preserve">03-007</t>
  </si>
  <si>
    <t xml:space="preserve">Index of Eight Core Industries (base 2022-23)</t>
  </si>
  <si>
    <t xml:space="preserve">Coal, crude oil, natural gas, refinery products, fertilisers, steel, cement, electricity</t>
  </si>
  <si>
    <t xml:space="preserve">~40% weight in IIP; released ~2 weeks earlier</t>
  </si>
  <si>
    <t xml:space="preserve">03-008</t>
  </si>
  <si>
    <t xml:space="preserve">Index of Services Production (ISP, trial)</t>
  </si>
  <si>
    <t xml:space="preserve">Services sub-sectors</t>
  </si>
  <si>
    <t xml:space="preserve">M, A</t>
  </si>
  <si>
    <t xml:space="preserve">ISP frequency_code 1/2</t>
  </si>
  <si>
    <t xml:space="preserve">Yearly 2025-26; monthly 2025-26→2026-27 (new, short)</t>
  </si>
  <si>
    <t xml:space="preserve">03-009</t>
  </si>
  <si>
    <t xml:space="preserve">Annual Survey of Industries (ASI)</t>
  </si>
  <si>
    <t xml:space="preserve">Factories, output, GVA, invested capital, employment, wages, profits × NIC × state</t>
  </si>
  <si>
    <t xml:space="preserve">₹ lakh, number</t>
  </si>
  <si>
    <t xml:space="preserve">ASI classification_year 2008 / 2004</t>
  </si>
  <si>
    <t xml:space="preserve">NIC-2008: 2008-09→2023-24; NIC-2004: 2004-05→2007-08</t>
  </si>
  <si>
    <t xml:space="preserve">03-010</t>
  </si>
  <si>
    <t xml:space="preserve">Unincorporated non-agri enterprises (ASUSE)</t>
  </si>
  <si>
    <t xml:space="preserve">Establishments, workers, GVA × state × activity</t>
  </si>
  <si>
    <t xml:space="preserve">A, Q</t>
  </si>
  <si>
    <t xml:space="preserve">Number, ₹</t>
  </si>
  <si>
    <t xml:space="preserve">ASUSE (50 indicators)</t>
  </si>
  <si>
    <t xml:space="preserve">Listed; to verify</t>
  </si>
  <si>
    <t xml:space="preserve">03-011</t>
  </si>
  <si>
    <t xml:space="preserve">PMI – Manufacturing, Services, Composite</t>
  </si>
  <si>
    <t xml:space="preserve">Diffusion index</t>
  </si>
  <si>
    <t xml:space="preserve">HSBC / S&amp;P Global</t>
  </si>
  <si>
    <t xml:space="preserve">Headline figure from public press release only</t>
  </si>
  <si>
    <t xml:space="preserve">Licensed</t>
  </si>
  <si>
    <t xml:space="preserve">Do not scrape full data – licence required</t>
  </si>
  <si>
    <t xml:space="preserve">03-012</t>
  </si>
  <si>
    <t xml:space="preserve">Vehicle registrations</t>
  </si>
  <si>
    <t xml:space="preserve">Vehicle class × fuel type (incl. EV) × state × RTO</t>
  </si>
  <si>
    <t xml:space="preserve">Number</t>
  </si>
  <si>
    <t xml:space="preserve">MoRTH – Vahan dashboard</t>
  </si>
  <si>
    <t xml:space="preserve">vahan.parivahan.gov.in (JavaScript site – Playwright)</t>
  </si>
  <si>
    <t xml:space="preserve">Best high-frequency consumption proxy</t>
  </si>
  <si>
    <t xml:space="preserve">03-013</t>
  </si>
  <si>
    <t xml:space="preserve">Automobile production &amp; domestic sales</t>
  </si>
  <si>
    <t xml:space="preserve">PV, 2W, 3W, CV</t>
  </si>
  <si>
    <t xml:space="preserve">Units</t>
  </si>
  <si>
    <t xml:space="preserve">SIAM / company releases</t>
  </si>
  <si>
    <t xml:space="preserve">Monthly press releases (detailed tables are paid)</t>
  </si>
  <si>
    <t xml:space="preserve">03-014</t>
  </si>
  <si>
    <t xml:space="preserve">Tractor sales</t>
  </si>
  <si>
    <t xml:space="preserve">Company releases</t>
  </si>
  <si>
    <t xml:space="preserve">Mahindra/Escorts/Sonalika monthly releases</t>
  </si>
  <si>
    <t xml:space="preserve">Rural demand proxy</t>
  </si>
  <si>
    <t xml:space="preserve">03-015</t>
  </si>
  <si>
    <t xml:space="preserve">Steel production &amp; consumption</t>
  </si>
  <si>
    <t xml:space="preserve">Crude steel, finished steel</t>
  </si>
  <si>
    <t xml:space="preserve">Million tonnes</t>
  </si>
  <si>
    <t xml:space="preserve">Ministry of Steel / JPC</t>
  </si>
  <si>
    <t xml:space="preserve">Monthly reports</t>
  </si>
  <si>
    <t xml:space="preserve">03-016</t>
  </si>
  <si>
    <t xml:space="preserve">Coal production &amp; despatch</t>
  </si>
  <si>
    <t xml:space="preserve">CIL, SCCL, captive</t>
  </si>
  <si>
    <t xml:space="preserve">Ministry of Coal</t>
  </si>
  <si>
    <t xml:space="preserve">Monthly press / dashboard</t>
  </si>
  <si>
    <t xml:space="preserve">03-017</t>
  </si>
  <si>
    <t xml:space="preserve">Fertiliser production &amp; sales</t>
  </si>
  <si>
    <t xml:space="preserve">Urea, DAP, MOP, NPK</t>
  </si>
  <si>
    <t xml:space="preserve">Lakh tonnes</t>
  </si>
  <si>
    <t xml:space="preserve">Dept. of Fertilizers</t>
  </si>
  <si>
    <t xml:space="preserve">fert.nic.in / data.gov.in</t>
  </si>
  <si>
    <t xml:space="preserve">04-001</t>
  </si>
  <si>
    <t xml:space="preserve">GST e-way bills generated</t>
  </si>
  <si>
    <t xml:space="preserve">Intra/inter-state; state-wise</t>
  </si>
  <si>
    <t xml:space="preserve">Number, ₹ value</t>
  </si>
  <si>
    <t xml:space="preserve">GSTN</t>
  </si>
  <si>
    <t xml:space="preserve">E-way bill portal statistics</t>
  </si>
  <si>
    <t xml:space="preserve">Leading indicator of goods movement</t>
  </si>
  <si>
    <t xml:space="preserve">04-002</t>
  </si>
  <si>
    <t xml:space="preserve">UPI transactions</t>
  </si>
  <si>
    <t xml:space="preserve">Volume, value</t>
  </si>
  <si>
    <t xml:space="preserve">M (daily also)</t>
  </si>
  <si>
    <t xml:space="preserve">Crore txns, ₹ lakh crore</t>
  </si>
  <si>
    <t xml:space="preserve">NPCI</t>
  </si>
  <si>
    <t xml:space="preserve">npci.org.in product statistics</t>
  </si>
  <si>
    <t xml:space="preserve">Since 2016 (verify)</t>
  </si>
  <si>
    <t xml:space="preserve">04-003</t>
  </si>
  <si>
    <t xml:space="preserve">IMPS, NEFT, RTGS, AePS, card &amp; ATM transactions</t>
  </si>
  <si>
    <t xml:space="preserve">RBI – payment system indicators</t>
  </si>
  <si>
    <t xml:space="preserve">RBI DBIE / monthly bulletin</t>
  </si>
  <si>
    <t xml:space="preserve">04-004</t>
  </si>
  <si>
    <t xml:space="preserve">Credit &amp; debit card spends and cards outstanding</t>
  </si>
  <si>
    <t xml:space="preserve">By bank</t>
  </si>
  <si>
    <t xml:space="preserve">₹, number</t>
  </si>
  <si>
    <t xml:space="preserve">RBI – ATM/POS/card statistics</t>
  </si>
  <si>
    <t xml:space="preserve">RBI monthly bank-wise statistics</t>
  </si>
  <si>
    <t xml:space="preserve">04-005</t>
  </si>
  <si>
    <t xml:space="preserve">FASTag / NETC toll transactions</t>
  </si>
  <si>
    <t xml:space="preserve">npci.org.in NETC statistics</t>
  </si>
  <si>
    <t xml:space="preserve">Road-freight proxy</t>
  </si>
  <si>
    <t xml:space="preserve">04-006</t>
  </si>
  <si>
    <t xml:space="preserve">Railway freight loading &amp; earnings</t>
  </si>
  <si>
    <t xml:space="preserve">Commodity-wise</t>
  </si>
  <si>
    <t xml:space="preserve">Million tonnes, ₹</t>
  </si>
  <si>
    <t xml:space="preserve">Ministry of Railways</t>
  </si>
  <si>
    <t xml:space="preserve">Monthly press release</t>
  </si>
  <si>
    <t xml:space="preserve">04-007</t>
  </si>
  <si>
    <t xml:space="preserve">Major port cargo traffic</t>
  </si>
  <si>
    <t xml:space="preserve">Port × commodity</t>
  </si>
  <si>
    <t xml:space="preserve">Indian Ports Association</t>
  </si>
  <si>
    <t xml:space="preserve">ipa.nic.in</t>
  </si>
  <si>
    <t xml:space="preserve">04-008</t>
  </si>
  <si>
    <t xml:space="preserve">Domestic air passenger traffic</t>
  </si>
  <si>
    <t xml:space="preserve">By airline</t>
  </si>
  <si>
    <t xml:space="preserve">Lakh passengers</t>
  </si>
  <si>
    <t xml:space="preserve">DGCA</t>
  </si>
  <si>
    <t xml:space="preserve">Monthly traffic data</t>
  </si>
  <si>
    <t xml:space="preserve">04-009</t>
  </si>
  <si>
    <t xml:space="preserve">International air passengers &amp; air cargo</t>
  </si>
  <si>
    <t xml:space="preserve">Airport-wise</t>
  </si>
  <si>
    <t xml:space="preserve">Number, tonnes</t>
  </si>
  <si>
    <t xml:space="preserve">Airports Authority of India</t>
  </si>
  <si>
    <t xml:space="preserve">aai.aero traffic statistics</t>
  </si>
  <si>
    <t xml:space="preserve">04-010</t>
  </si>
  <si>
    <t xml:space="preserve">Foreign tourist arrivals &amp; forex earnings from tourism</t>
  </si>
  <si>
    <t xml:space="preserve">Number, ₹ crore</t>
  </si>
  <si>
    <t xml:space="preserve">Ministry of Tourism</t>
  </si>
  <si>
    <t xml:space="preserve">Monthly release</t>
  </si>
  <si>
    <t xml:space="preserve">04-011</t>
  </si>
  <si>
    <t xml:space="preserve">Telecom subscribers (wireless, broadband)</t>
  </si>
  <si>
    <t xml:space="preserve">Operator × circle</t>
  </si>
  <si>
    <t xml:space="preserve">Million</t>
  </si>
  <si>
    <t xml:space="preserve">TRAI</t>
  </si>
  <si>
    <t xml:space="preserve">Monthly subscription data</t>
  </si>
  <si>
    <t xml:space="preserve">05-001</t>
  </si>
  <si>
    <t xml:space="preserve">Unemployment Rate (PLFS)</t>
  </si>
  <si>
    <t xml:space="preserve">State × gender × age × rural/urban; CWS &amp; usual status</t>
  </si>
  <si>
    <t xml:space="preserve">M, Q, A</t>
  </si>
  <si>
    <t xml:space="preserve">%</t>
  </si>
  <si>
    <t xml:space="preserve">PLFS indicator 3 (freq 1/2/3; needs year_type_code)</t>
  </si>
  <si>
    <t xml:space="preserve">Annual 2017-18→2025 · quarterly 2018→2026 · monthly 2025→2026</t>
  </si>
  <si>
    <t xml:space="preserve">Monthly estimates are new (from 2025)</t>
  </si>
  <si>
    <t xml:space="preserve">05-002</t>
  </si>
  <si>
    <t xml:space="preserve">Labour Force Participation Rate (PLFS)</t>
  </si>
  <si>
    <t xml:space="preserve">PLFS indicator 1</t>
  </si>
  <si>
    <t xml:space="preserve">05-003</t>
  </si>
  <si>
    <t xml:space="preserve">Worker Population Ratio (PLFS)</t>
  </si>
  <si>
    <t xml:space="preserve">PLFS indicator 2</t>
  </si>
  <si>
    <t xml:space="preserve">05-004</t>
  </si>
  <si>
    <t xml:space="preserve">Distribution of workers by status &amp; industry</t>
  </si>
  <si>
    <t xml:space="preserve">Self-employed / regular / casual; industry</t>
  </si>
  <si>
    <t xml:space="preserve">PLFS indicator 4</t>
  </si>
  <si>
    <t xml:space="preserve">Annual 2017-18→2025 · quarterly 2018→2026</t>
  </si>
  <si>
    <t xml:space="preserve">05-005</t>
  </si>
  <si>
    <t xml:space="preserve">Regular employees with job contract / paid leave / social security</t>
  </si>
  <si>
    <t xml:space="preserve">PLFS indicator 5</t>
  </si>
  <si>
    <t xml:space="preserve">Annual 2017-18→2023-24</t>
  </si>
  <si>
    <t xml:space="preserve">Job-quality measure</t>
  </si>
  <si>
    <t xml:space="preserve">05-006</t>
  </si>
  <si>
    <t xml:space="preserve">Earnings: regular wage, casual daily wage, self-employment</t>
  </si>
  <si>
    <t xml:space="preserve">Gender × sector × state</t>
  </si>
  <si>
    <t xml:space="preserve">PLFS indicators 6, 7, 8</t>
  </si>
  <si>
    <t xml:space="preserve">Annual 2017-18→2025</t>
  </si>
  <si>
    <t xml:space="preserve">05-007</t>
  </si>
  <si>
    <t xml:space="preserve">EPFO net payroll additions</t>
  </si>
  <si>
    <t xml:space="preserve">Age group, state, industry</t>
  </si>
  <si>
    <t xml:space="preserve">EPFO / MoSPI payroll reporting</t>
  </si>
  <si>
    <t xml:space="preserve">Monthly payroll release</t>
  </si>
  <si>
    <t xml:space="preserve">Formal job creation proxy; revised often</t>
  </si>
  <si>
    <t xml:space="preserve">05-008</t>
  </si>
  <si>
    <t xml:space="preserve">ESIC &amp; NPS new subscribers</t>
  </si>
  <si>
    <t xml:space="preserve">MoSPI payroll reporting</t>
  </si>
  <si>
    <t xml:space="preserve">05-009</t>
  </si>
  <si>
    <t xml:space="preserve">MGNREGA work demand &amp; person-days</t>
  </si>
  <si>
    <t xml:space="preserve">State, district</t>
  </si>
  <si>
    <t xml:space="preserve">Households, person-days</t>
  </si>
  <si>
    <t xml:space="preserve">Ministry of Rural Development</t>
  </si>
  <si>
    <t xml:space="preserve">nrega.nic.in reports / data.gov.in</t>
  </si>
  <si>
    <t xml:space="preserve">Rural distress proxy</t>
  </si>
  <si>
    <t xml:space="preserve">05-010</t>
  </si>
  <si>
    <t xml:space="preserve">Rural wage rates</t>
  </si>
  <si>
    <t xml:space="preserve">Agricultural &amp; non-agricultural occupations × state</t>
  </si>
  <si>
    <t xml:space="preserve">₹/day</t>
  </si>
  <si>
    <t xml:space="preserve">Wage Rates in Rural India</t>
  </si>
  <si>
    <t xml:space="preserve">06-001</t>
  </si>
  <si>
    <t xml:space="preserve">Policy rates: repo, SDF, MSF, bank rate, CRR, SLR</t>
  </si>
  <si>
    <t xml:space="preserve">Event</t>
  </si>
  <si>
    <t xml:space="preserve">RBI</t>
  </si>
  <si>
    <t xml:space="preserve">RBI current rates / MPC statements</t>
  </si>
  <si>
    <t xml:space="preserve">Long</t>
  </si>
  <si>
    <t xml:space="preserve">06-002</t>
  </si>
  <si>
    <t xml:space="preserve">Weighted Average Call Rate (WACR) &amp; money-market rates</t>
  </si>
  <si>
    <t xml:space="preserve">Call, TREPS, market repo</t>
  </si>
  <si>
    <t xml:space="preserve">RBI / CCIL</t>
  </si>
  <si>
    <t xml:space="preserve">RBI DBIE / money market operations release</t>
  </si>
  <si>
    <t xml:space="preserve">06-003</t>
  </si>
  <si>
    <t xml:space="preserve">System liquidity (LAF net injection/absorption)</t>
  </si>
  <si>
    <t xml:space="preserve">Money market operations press release</t>
  </si>
  <si>
    <t xml:space="preserve">06-004</t>
  </si>
  <si>
    <t xml:space="preserve">Treasury bill yields (91/182/364-day)</t>
  </si>
  <si>
    <t xml:space="preserve">Auction cut-offs; secondary</t>
  </si>
  <si>
    <t xml:space="preserve">W, D</t>
  </si>
  <si>
    <t xml:space="preserve">RBI / FBIL</t>
  </si>
  <si>
    <t xml:space="preserve">Auction results; FBIL T-bill curve</t>
  </si>
  <si>
    <t xml:space="preserve">06-005</t>
  </si>
  <si>
    <t xml:space="preserve">Commercial paper &amp; certificate of deposit rates, issuance</t>
  </si>
  <si>
    <t xml:space="preserve">Fortnightly</t>
  </si>
  <si>
    <t xml:space="preserve">%, ₹ crore</t>
  </si>
  <si>
    <t xml:space="preserve">RBI DBIE</t>
  </si>
  <si>
    <t xml:space="preserve">06-006</t>
  </si>
  <si>
    <t xml:space="preserve">Reserve money &amp; currency in circulation</t>
  </si>
  <si>
    <t xml:space="preserve">W</t>
  </si>
  <si>
    <t xml:space="preserve">RBI – Weekly Statistical Supplement</t>
  </si>
  <si>
    <t xml:space="preserve">06-007</t>
  </si>
  <si>
    <t xml:space="preserve">Money supply (M1, M3) &amp; components</t>
  </si>
  <si>
    <t xml:space="preserve">₹ crore; % YoY</t>
  </si>
  <si>
    <t xml:space="preserve">06-008</t>
  </si>
  <si>
    <t xml:space="preserve">Scheduled commercial bank deposits &amp; credit</t>
  </si>
  <si>
    <t xml:space="preserve">Aggregate, time vs demand deposits</t>
  </si>
  <si>
    <t xml:space="preserve">06-009</t>
  </si>
  <si>
    <t xml:space="preserve">Sectoral deployment of bank credit</t>
  </si>
  <si>
    <t xml:space="preserve">Agriculture, industry (by size &amp; industry), services, personal loans (housing, vehicle, cards, gold, education)</t>
  </si>
  <si>
    <t xml:space="preserve">RBI DBIE / monthly release</t>
  </si>
  <si>
    <t xml:space="preserve">06-010</t>
  </si>
  <si>
    <t xml:space="preserve">Weighted average lending &amp; deposit rates (WALR, WADTDR)</t>
  </si>
  <si>
    <t xml:space="preserve">Fresh vs outstanding</t>
  </si>
  <si>
    <t xml:space="preserve">Monetary transmission</t>
  </si>
  <si>
    <t xml:space="preserve">06-011</t>
  </si>
  <si>
    <t xml:space="preserve">MCLR &amp; EBLR (median)</t>
  </si>
  <si>
    <t xml:space="preserve">06-012</t>
  </si>
  <si>
    <t xml:space="preserve">Bank asset quality: GNPA, NNPA, CRAR, SMA</t>
  </si>
  <si>
    <t xml:space="preserve">Bank group</t>
  </si>
  <si>
    <t xml:space="preserve">Half-yearly</t>
  </si>
  <si>
    <t xml:space="preserve">RBI – Financial Stability Report</t>
  </si>
  <si>
    <t xml:space="preserve">FSR tables</t>
  </si>
  <si>
    <t xml:space="preserve">06-013</t>
  </si>
  <si>
    <t xml:space="preserve">NBFC &amp; HFC credit</t>
  </si>
  <si>
    <t xml:space="preserve">Q</t>
  </si>
  <si>
    <t xml:space="preserve">RBI DBIE / FSR</t>
  </si>
  <si>
    <t xml:space="preserve">06-014</t>
  </si>
  <si>
    <t xml:space="preserve">Household financial savings &amp; liabilities</t>
  </si>
  <si>
    <t xml:space="preserve">Deposits, MFs, insurance, borrowings</t>
  </si>
  <si>
    <t xml:space="preserve">₹ crore; % GDP</t>
  </si>
  <si>
    <t xml:space="preserve">RBI – Bulletin</t>
  </si>
  <si>
    <t xml:space="preserve">RBI Bulletin tables</t>
  </si>
  <si>
    <t xml:space="preserve">06-015</t>
  </si>
  <si>
    <t xml:space="preserve">Bank credit &amp; deposits by state and district</t>
  </si>
  <si>
    <t xml:space="preserve">Population group (rural/urban/metro)</t>
  </si>
  <si>
    <t xml:space="preserve">RBI – BSR</t>
  </si>
  <si>
    <t xml:space="preserve">RBI DBIE quarterly BSR</t>
  </si>
  <si>
    <t xml:space="preserve">06-016</t>
  </si>
  <si>
    <t xml:space="preserve">Small savings interest rates</t>
  </si>
  <si>
    <t xml:space="preserve">PPF, NSC, SSY…</t>
  </si>
  <si>
    <t xml:space="preserve">Ministry of Finance</t>
  </si>
  <si>
    <t xml:space="preserve">Quarterly notification</t>
  </si>
  <si>
    <t xml:space="preserve">07-001</t>
  </si>
  <si>
    <t xml:space="preserve">Nifty 50 &amp; Sensex (OHLC, volume)</t>
  </si>
  <si>
    <t xml:space="preserve">Index points</t>
  </si>
  <si>
    <t xml:space="preserve">NSE, BSE via Yahoo</t>
  </si>
  <si>
    <t xml:space="preserve">yfinance ^NSEI, ^BSESN</t>
  </si>
  <si>
    <t xml:space="preserve">Sensex 1997-07-01→ · Nifty 2007-09-17→</t>
  </si>
  <si>
    <t xml:space="preserve">Yahoo terms: personal/internal use; don't redistribute</t>
  </si>
  <si>
    <t xml:space="preserve">07-002</t>
  </si>
  <si>
    <t xml:space="preserve">Nifty sectoral indices</t>
  </si>
  <si>
    <t xml:space="preserve">Bank, IT, Auto, FMCG, Pharma, Metal, Realty, Energy, PSU Bank, Infra, Media</t>
  </si>
  <si>
    <t xml:space="preserve">NSE via Yahoo</t>
  </si>
  <si>
    <t xml:space="preserve">yfinance ^NSEBANK, ^CNXIT …</t>
  </si>
  <si>
    <t xml:space="preserve">Bank &amp; IT 2007-09→ · Realty &amp; Infra 2010-07→ · others 2011→ · recent gaps in some indices</t>
  </si>
  <si>
    <t xml:space="preserve">07-003</t>
  </si>
  <si>
    <t xml:space="preserve">Broad-market indices</t>
  </si>
  <si>
    <t xml:space="preserve">Nifty 500, Midcap 50, Smallcap 100</t>
  </si>
  <si>
    <t xml:space="preserve">yfinance ^CRSLDX, ^NSEMDCP50, ^CNXSC</t>
  </si>
  <si>
    <t xml:space="preserve">Nifty 500 2005-09→ · Midcap 50 2007-09→ · Smallcap 100 (^CNXSC) no longer works</t>
  </si>
  <si>
    <t xml:space="preserve">07-004</t>
  </si>
  <si>
    <t xml:space="preserve">India VIX</t>
  </si>
  <si>
    <t xml:space="preserve">yfinance ^INDIAVIX</t>
  </si>
  <si>
    <t xml:space="preserve">2008-03-03→</t>
  </si>
  <si>
    <t xml:space="preserve">07-005</t>
  </si>
  <si>
    <t xml:space="preserve">Market valuation: Nifty P/E, P/B, dividend yield</t>
  </si>
  <si>
    <t xml:space="preserve">Ratio</t>
  </si>
  <si>
    <t xml:space="preserve">NSE</t>
  </si>
  <si>
    <t xml:space="preserve">NSE archives (blocks automated access – hard)</t>
  </si>
  <si>
    <t xml:space="preserve">07-006</t>
  </si>
  <si>
    <t xml:space="preserve">10-year G-sec benchmark yield</t>
  </si>
  <si>
    <t xml:space="preserve">FBIL / CCIL</t>
  </si>
  <si>
    <t xml:space="preserve">FBIL G-sec valuation; CCIL NDS-OM</t>
  </si>
  <si>
    <t xml:space="preserve">Not available on Yahoo</t>
  </si>
  <si>
    <t xml:space="preserve">07-007</t>
  </si>
  <si>
    <t xml:space="preserve">G-sec yield curve (par &amp; zero-coupon, 1–40Y)</t>
  </si>
  <si>
    <t xml:space="preserve">FBIL</t>
  </si>
  <si>
    <t xml:space="preserve">fbil.org.in</t>
  </si>
  <si>
    <t xml:space="preserve">07-008</t>
  </si>
  <si>
    <t xml:space="preserve">Overnight &amp; term benchmarks (MIBOR, TREPS)</t>
  </si>
  <si>
    <t xml:space="preserve">fbil.org.in, ccilindia.com</t>
  </si>
  <si>
    <t xml:space="preserve">07-009</t>
  </si>
  <si>
    <t xml:space="preserve">SDL cut-off yields &amp; spreads over G-sec</t>
  </si>
  <si>
    <t xml:space="preserve">State-wise</t>
  </si>
  <si>
    <t xml:space="preserve">RBI auction results</t>
  </si>
  <si>
    <t xml:space="preserve">Weekly SDL auction press release</t>
  </si>
  <si>
    <t xml:space="preserve">07-010</t>
  </si>
  <si>
    <t xml:space="preserve">Corporate bond yields &amp; spreads (AAA 3/5/10Y)</t>
  </si>
  <si>
    <t xml:space="preserve">FBIL / market data</t>
  </si>
  <si>
    <t xml:space="preserve">Verify source</t>
  </si>
  <si>
    <t xml:space="preserve">07-011</t>
  </si>
  <si>
    <t xml:space="preserve">USD/INR reference rate</t>
  </si>
  <si>
    <t xml:space="preserve">₹ per US$</t>
  </si>
  <si>
    <t xml:space="preserve">FBIL (Yahoo INR=X fallback)</t>
  </si>
  <si>
    <t xml:space="preserve">fbil.org.in reference rate</t>
  </si>
  <si>
    <t xml:space="preserve">Yahoo fallback INR=X 2003-12→ (verified) · FBIL not yet tested</t>
  </si>
  <si>
    <t xml:space="preserve">07-012</t>
  </si>
  <si>
    <t xml:space="preserve">EUR, GBP, JPY, AED vs INR</t>
  </si>
  <si>
    <t xml:space="preserve">FBIL / Yahoo</t>
  </si>
  <si>
    <t xml:space="preserve">FBIL; yfinance EURINR=X …</t>
  </si>
  <si>
    <t xml:space="preserve">Yahoo: EUR &amp; JPY 2003-12→ · GBP 2006-05→ · AED 2005-05→ (CNY/INR dropped – 1 row only)</t>
  </si>
  <si>
    <t xml:space="preserve">07-013</t>
  </si>
  <si>
    <t xml:space="preserve">FPI net investment</t>
  </si>
  <si>
    <t xml:space="preserve">Equity, debt, hybrid; primary vs secondary</t>
  </si>
  <si>
    <t xml:space="preserve">NSDL – FPI Monitor</t>
  </si>
  <si>
    <t xml:space="preserve">fpi.nsdl.co.in</t>
  </si>
  <si>
    <t xml:space="preserve">Long (verify)</t>
  </si>
  <si>
    <t xml:space="preserve">07-014</t>
  </si>
  <si>
    <t xml:space="preserve">DII net investment</t>
  </si>
  <si>
    <t xml:space="preserve">NSE (provisional)</t>
  </si>
  <si>
    <t xml:space="preserve">NSE (hard)</t>
  </si>
  <si>
    <t xml:space="preserve">07-015</t>
  </si>
  <si>
    <t xml:space="preserve">Mutual fund AUM, net flows by category, SIP inflows &amp; accounts</t>
  </si>
  <si>
    <t xml:space="preserve">Equity/debt/hybrid/ETF sub-categories</t>
  </si>
  <si>
    <t xml:space="preserve">₹ crore; number</t>
  </si>
  <si>
    <t xml:space="preserve">AMFI</t>
  </si>
  <si>
    <t xml:space="preserve">amfiindia.com monthly data</t>
  </si>
  <si>
    <t xml:space="preserve">07-016</t>
  </si>
  <si>
    <t xml:space="preserve">Mutual fund NAVs</t>
  </si>
  <si>
    <t xml:space="preserve">All schemes</t>
  </si>
  <si>
    <t xml:space="preserve">AMFI NAVAll.txt (plain text file)</t>
  </si>
  <si>
    <t xml:space="preserve">07-017</t>
  </si>
  <si>
    <t xml:space="preserve">Demat accounts</t>
  </si>
  <si>
    <t xml:space="preserve">Crore accounts</t>
  </si>
  <si>
    <t xml:space="preserve">NSDL, CDSL</t>
  </si>
  <si>
    <t xml:space="preserve">Depository statistics</t>
  </si>
  <si>
    <t xml:space="preserve">Retail participation proxy</t>
  </si>
  <si>
    <t xml:space="preserve">07-018</t>
  </si>
  <si>
    <t xml:space="preserve">Equity &amp; debt fund-raising (IPOs, QIPs, bonds)</t>
  </si>
  <si>
    <t xml:space="preserve">SEBI Bulletin</t>
  </si>
  <si>
    <t xml:space="preserve">SEBI monthly bulletin</t>
  </si>
  <si>
    <t xml:space="preserve">07-019</t>
  </si>
  <si>
    <t xml:space="preserve">Commodities: gold, silver, Brent, WTI, natural gas, copper</t>
  </si>
  <si>
    <t xml:space="preserve">US$</t>
  </si>
  <si>
    <t xml:space="preserve">Futures via Yahoo</t>
  </si>
  <si>
    <t xml:space="preserve">yfinance GC=F, SI=F, BZ=F, CL=F, NG=F, HG=F</t>
  </si>
  <si>
    <t xml:space="preserve">Gold, silver, WTI, gas, copper 2000-08→ · Brent 2007-07→</t>
  </si>
  <si>
    <t xml:space="preserve">07-020</t>
  </si>
  <si>
    <t xml:space="preserve">Gold ETF flows</t>
  </si>
  <si>
    <t xml:space="preserve">AMFI monthly</t>
  </si>
  <si>
    <t xml:space="preserve">08-001</t>
  </si>
  <si>
    <t xml:space="preserve">Merchandise exports, imports &amp; trade balance</t>
  </si>
  <si>
    <t xml:space="preserve">US$ mn, ₹ crore</t>
  </si>
  <si>
    <t xml:space="preserve">RBI via MoSPI (Commerce Ministry quick estimates)</t>
  </si>
  <si>
    <t xml:space="preserve">RBI API codes 12, 13 (monthly), 16, 17 (annual)</t>
  </si>
  <si>
    <t xml:space="preserve">Monthly 1990-91→2025-26 (codes 12, 13) · annual 1970-71→2024-25 (codes 16, 17)</t>
  </si>
  <si>
    <t xml:space="preserve">Commerce Ministry release is ~2 weeks after month-end</t>
  </si>
  <si>
    <t xml:space="preserve">08-002</t>
  </si>
  <si>
    <t xml:space="preserve">Oil vs non-oil exports &amp; imports</t>
  </si>
  <si>
    <t xml:space="preserve">RBI via MoSPI</t>
  </si>
  <si>
    <t xml:space="preserve">RBI API codes 24, 42</t>
  </si>
  <si>
    <t xml:space="preserve">Monthly 1997-98→2025-26</t>
  </si>
  <si>
    <t xml:space="preserve">08-003</t>
  </si>
  <si>
    <t xml:space="preserve">Exports &amp; imports of major commodities</t>
  </si>
  <si>
    <t xml:space="preserve">RBI API codes 43, 44, 45, 46</t>
  </si>
  <si>
    <t xml:space="preserve">2009-10→2024-25</t>
  </si>
  <si>
    <t xml:space="preserve">08-004</t>
  </si>
  <si>
    <t xml:space="preserve">Direction of trade (by country)</t>
  </si>
  <si>
    <t xml:space="preserve">RBI API codes 1, 11; select commodities to principal countries 2, 20</t>
  </si>
  <si>
    <t xml:space="preserve">2009-10→2024-25 · select commodities to principal countries 2013-14→2024-25</t>
  </si>
  <si>
    <t xml:space="preserve">08-005</t>
  </si>
  <si>
    <t xml:space="preserve">Detailed trade by HS code &amp; country</t>
  </si>
  <si>
    <t xml:space="preserve">8-digit HS × country</t>
  </si>
  <si>
    <t xml:space="preserve">DGCI&amp;S – TradeStat</t>
  </si>
  <si>
    <t xml:space="preserve">tradestat.commerce.gov.in (form-based)</t>
  </si>
  <si>
    <t xml:space="preserve">08-006</t>
  </si>
  <si>
    <t xml:space="preserve">Services exports &amp; imports</t>
  </si>
  <si>
    <t xml:space="preserve">US$ bn</t>
  </si>
  <si>
    <t xml:space="preserve">08-007</t>
  </si>
  <si>
    <t xml:space="preserve">Balance of Payments: current account, capital account, overall</t>
  </si>
  <si>
    <t xml:space="preserve">RBI API codes 4, 10 (quarterly), 5, 6 (annual), 7, 8 (key components), 22</t>
  </si>
  <si>
    <t xml:space="preserve">Quarterly 1990-91→2025-26 · annual 1990-91→2024-25 · key components 1950-51→2024-25 · indicators 1970-71→2024-25</t>
  </si>
  <si>
    <t xml:space="preserve">08-008</t>
  </si>
  <si>
    <t xml:space="preserve">Invisibles: services, remittances, income</t>
  </si>
  <si>
    <t xml:space="preserve">RBI API codes 9, 14</t>
  </si>
  <si>
    <t xml:space="preserve">1950-51→2024-25</t>
  </si>
  <si>
    <t xml:space="preserve">08-009</t>
  </si>
  <si>
    <t xml:space="preserve">FDI inflows</t>
  </si>
  <si>
    <t xml:space="preserve">Gross/net; by country and sector</t>
  </si>
  <si>
    <t xml:space="preserve">US$ mn</t>
  </si>
  <si>
    <t xml:space="preserve">RBI Bulletin; DPIIT factsheet</t>
  </si>
  <si>
    <t xml:space="preserve">RBI Bulletin table; DPIIT quarterly factsheet</t>
  </si>
  <si>
    <t xml:space="preserve">08-010</t>
  </si>
  <si>
    <t xml:space="preserve">External commercial borrowings (ECB) registrations</t>
  </si>
  <si>
    <t xml:space="preserve">RBI monthly ECB data</t>
  </si>
  <si>
    <t xml:space="preserve">08-011</t>
  </si>
  <si>
    <t xml:space="preserve">External debt</t>
  </si>
  <si>
    <t xml:space="preserve">Total, short-term, by borrower &amp; instrument</t>
  </si>
  <si>
    <t xml:space="preserve">RBI API codes 25, 26 (annual), 27 (quarterly)</t>
  </si>
  <si>
    <t xml:space="preserve">End-March 1991→2025 · quarterly 2021→2025</t>
  </si>
  <si>
    <t xml:space="preserve">08-012</t>
  </si>
  <si>
    <t xml:space="preserve">Foreign exchange reserves</t>
  </si>
  <si>
    <t xml:space="preserve">FCA, gold, SDR, IMF reserve position</t>
  </si>
  <si>
    <t xml:space="preserve">W, M, A</t>
  </si>
  <si>
    <t xml:space="preserve">RBI (weekly WSS); RBI via MoSPI (monthly, annual)</t>
  </si>
  <si>
    <t xml:space="preserve">RBI API codes 47 (monthly), 48 (annual); weekly from RBI WSS</t>
  </si>
  <si>
    <t xml:space="preserve">Monthly 1990→2025 · annual 1950-51→2024-25 (weekly WSS not yet tested)</t>
  </si>
  <si>
    <t xml:space="preserve">08-013</t>
  </si>
  <si>
    <t xml:space="preserve">RBI purchase/sale of US dollars (FX intervention)</t>
  </si>
  <si>
    <t xml:space="preserve">Spot &amp; forward</t>
  </si>
  <si>
    <t xml:space="preserve">RBI API code 28</t>
  </si>
  <si>
    <t xml:space="preserve">1995→2025</t>
  </si>
  <si>
    <t xml:space="preserve">08-014</t>
  </si>
  <si>
    <t xml:space="preserve">Forward premia (inter-bank)</t>
  </si>
  <si>
    <t xml:space="preserve">1, 3, 6 month</t>
  </si>
  <si>
    <t xml:space="preserve">% p.a.</t>
  </si>
  <si>
    <t xml:space="preserve">RBI API code 34</t>
  </si>
  <si>
    <t xml:space="preserve">1993→2025</t>
  </si>
  <si>
    <t xml:space="preserve">08-015</t>
  </si>
  <si>
    <t xml:space="preserve">Exchange rates of the rupee</t>
  </si>
  <si>
    <t xml:space="preserve">SDR, USD, GBP, EUR, JPY – monthly avg/end, FY &amp; CY averages, month high/low</t>
  </si>
  <si>
    <t xml:space="preserve">₹ per unit</t>
  </si>
  <si>
    <t xml:space="preserve">RBI API codes 29, 31, 32, 33, 35, 36</t>
  </si>
  <si>
    <t xml:space="preserve">Monthly average 1966→2025 · monthly avg/end 1992→2025 · FY 1970-71→2024-25 · CY 1970→2024 · high/low 1998→2024 &amp; 2008→2025</t>
  </si>
  <si>
    <t xml:space="preserve">08-016</t>
  </si>
  <si>
    <t xml:space="preserve">Monthly average exchange rates – 155 currencies</t>
  </si>
  <si>
    <t xml:space="preserve">RBI API code 37</t>
  </si>
  <si>
    <t xml:space="preserve">Only Jul-2025 listed – likely latest month only</t>
  </si>
  <si>
    <t xml:space="preserve">08-017</t>
  </si>
  <si>
    <t xml:space="preserve">REER / NEER (40-currency &amp; 6-currency)</t>
  </si>
  <si>
    <t xml:space="preserve">Trade &amp; export weighted</t>
  </si>
  <si>
    <t xml:space="preserve">RBI Bulletin / DBIE</t>
  </si>
  <si>
    <t xml:space="preserve">Competitiveness gauge</t>
  </si>
  <si>
    <t xml:space="preserve">08-018</t>
  </si>
  <si>
    <t xml:space="preserve">Foreign exchange market turnover</t>
  </si>
  <si>
    <t xml:space="preserve">RBI API code 30</t>
  </si>
  <si>
    <t xml:space="preserve">1996-97→2025-26</t>
  </si>
  <si>
    <t xml:space="preserve">08-019</t>
  </si>
  <si>
    <t xml:space="preserve">NRI deposits (FCNR-B, NRE, NRO)</t>
  </si>
  <si>
    <t xml:space="preserve">Outstanding and flows</t>
  </si>
  <si>
    <t xml:space="preserve">RBI API code 40</t>
  </si>
  <si>
    <t xml:space="preserve">1997-98→2025-26</t>
  </si>
  <si>
    <t xml:space="preserve">09-001</t>
  </si>
  <si>
    <t xml:space="preserve">Centre's monthly accounts</t>
  </si>
  <si>
    <t xml:space="preserve">Tax (gross/net), non-tax, disinvestment; revenue &amp; capital expenditure; interest; fiscal, revenue, primary deficit</t>
  </si>
  <si>
    <t xml:space="preserve">₹ crore; % of BE</t>
  </si>
  <si>
    <t xml:space="preserve">Controller General of Accounts</t>
  </si>
  <si>
    <t xml:space="preserve">cga.nic.in monthly accounts</t>
  </si>
  <si>
    <t xml:space="preserve">09-002</t>
  </si>
  <si>
    <t xml:space="preserve">GST collections</t>
  </si>
  <si>
    <t xml:space="preserve">CGST, SGST, IGST, cess; domestic vs imports; refunds; state-wise</t>
  </si>
  <si>
    <t xml:space="preserve">GST Council / Ministry of Finance</t>
  </si>
  <si>
    <t xml:space="preserve">Monthly GST statistics</t>
  </si>
  <si>
    <t xml:space="preserve">Since 2017 (verify)</t>
  </si>
  <si>
    <t xml:space="preserve">09-003</t>
  </si>
  <si>
    <t xml:space="preserve">Direct tax collections</t>
  </si>
  <si>
    <t xml:space="preserve">Corporate tax, personal income tax, refunds</t>
  </si>
  <si>
    <t xml:space="preserve">Periodic</t>
  </si>
  <si>
    <t xml:space="preserve">CBDT / Income Tax Dept.</t>
  </si>
  <si>
    <t xml:space="preserve">Press releases; time-series tables</t>
  </si>
  <si>
    <t xml:space="preserve">09-004</t>
  </si>
  <si>
    <t xml:space="preserve">States' monthly key fiscal indicators</t>
  </si>
  <si>
    <t xml:space="preserve">~28 states: receipts, expenditure, deficits</t>
  </si>
  <si>
    <t xml:space="preserve">CAG</t>
  </si>
  <si>
    <t xml:space="preserve">cag.gov.in state accounts</t>
  </si>
  <si>
    <t xml:space="preserve">09-005</t>
  </si>
  <si>
    <t xml:space="preserve">Union Budget (BE, RE, actuals)</t>
  </si>
  <si>
    <t xml:space="preserve">Receipts &amp; expenditure by head</t>
  </si>
  <si>
    <t xml:space="preserve">indiabudget.gov.in</t>
  </si>
  <si>
    <t xml:space="preserve">Budget at a Glance Excel files</t>
  </si>
  <si>
    <t xml:space="preserve">Once a year – manual upload is fine</t>
  </si>
  <si>
    <t xml:space="preserve">09-006</t>
  </si>
  <si>
    <t xml:space="preserve">State budgets &amp; debt</t>
  </si>
  <si>
    <t xml:space="preserve">Deficits, debt/GSDP, committed expenditure</t>
  </si>
  <si>
    <t xml:space="preserve">₹ crore; % GSDP</t>
  </si>
  <si>
    <t xml:space="preserve">RBI – State Finances</t>
  </si>
  <si>
    <t xml:space="preserve">RBI annual State Finances study</t>
  </si>
  <si>
    <t xml:space="preserve">09-007</t>
  </si>
  <si>
    <t xml:space="preserve">Government market borrowing</t>
  </si>
  <si>
    <t xml:space="preserve">G-sec &amp; SDL auctions: amount, cut-off yields</t>
  </si>
  <si>
    <t xml:space="preserve">₹ crore; %</t>
  </si>
  <si>
    <t xml:space="preserve">Auction result press releases</t>
  </si>
  <si>
    <t xml:space="preserve">09-008</t>
  </si>
  <si>
    <t xml:space="preserve">Central government debt &amp; liabilities</t>
  </si>
  <si>
    <t xml:space="preserve">Ministry of Finance – Public Debt Management</t>
  </si>
  <si>
    <t xml:space="preserve">Quarterly public debt report</t>
  </si>
  <si>
    <t xml:space="preserve">09-009</t>
  </si>
  <si>
    <t xml:space="preserve">Disinvestment receipts</t>
  </si>
  <si>
    <t xml:space="preserve">DIPAM</t>
  </si>
  <si>
    <t xml:space="preserve">dipam.gov.in</t>
  </si>
  <si>
    <t xml:space="preserve">10-001</t>
  </si>
  <si>
    <t xml:space="preserve">Crop production estimates</t>
  </si>
  <si>
    <t xml:space="preserve">Foodgrains, rice, wheat, pulses, oilseeds, sugarcane, cotton; advance estimates</t>
  </si>
  <si>
    <t xml:space="preserve">3–4× a year</t>
  </si>
  <si>
    <t xml:space="preserve">Ministry of Agriculture – DES</t>
  </si>
  <si>
    <t xml:space="preserve">Advance estimates release</t>
  </si>
  <si>
    <t xml:space="preserve">10-002</t>
  </si>
  <si>
    <t xml:space="preserve">Kharif / rabi sowing area</t>
  </si>
  <si>
    <t xml:space="preserve">Crop-wise; vs last year</t>
  </si>
  <si>
    <t xml:space="preserve">W (in season)</t>
  </si>
  <si>
    <t xml:space="preserve">Lakh hectares</t>
  </si>
  <si>
    <t xml:space="preserve">Ministry of Agriculture</t>
  </si>
  <si>
    <t xml:space="preserve">Weekly sowing press release</t>
  </si>
  <si>
    <t xml:space="preserve">10-003</t>
  </si>
  <si>
    <t xml:space="preserve">Rainfall vs long period average (LPA)</t>
  </si>
  <si>
    <t xml:space="preserve">All-India, subdivision, district</t>
  </si>
  <si>
    <t xml:space="preserve">D, W</t>
  </si>
  <si>
    <t xml:space="preserve">mm; % departure</t>
  </si>
  <si>
    <t xml:space="preserve">IMD</t>
  </si>
  <si>
    <t xml:space="preserve">IMD rainfall statistics</t>
  </si>
  <si>
    <t xml:space="preserve">10-004</t>
  </si>
  <si>
    <t xml:space="preserve">Reservoir storage</t>
  </si>
  <si>
    <t xml:space="preserve">150+ reservoirs; % of capacity vs 10-yr average</t>
  </si>
  <si>
    <t xml:space="preserve">BCM; %</t>
  </si>
  <si>
    <t xml:space="preserve">Central Water Commission</t>
  </si>
  <si>
    <t xml:space="preserve">Weekly bulletin (Thursdays)</t>
  </si>
  <si>
    <t xml:space="preserve">10-005</t>
  </si>
  <si>
    <t xml:space="preserve">Foodgrain stocks in central pool</t>
  </si>
  <si>
    <t xml:space="preserve">Rice, wheat vs buffer norms</t>
  </si>
  <si>
    <t xml:space="preserve">FCI</t>
  </si>
  <si>
    <t xml:space="preserve">fci.gov.in stock position</t>
  </si>
  <si>
    <t xml:space="preserve">10-006</t>
  </si>
  <si>
    <t xml:space="preserve">Minimum Support Prices</t>
  </si>
  <si>
    <t xml:space="preserve">Kharif &amp; rabi crops</t>
  </si>
  <si>
    <t xml:space="preserve">CACP / PIB</t>
  </si>
  <si>
    <t xml:space="preserve">Cabinet decision press release</t>
  </si>
  <si>
    <t xml:space="preserve">10-007</t>
  </si>
  <si>
    <t xml:space="preserve">Agricultural household situation (NSS 77th round)</t>
  </si>
  <si>
    <t xml:space="preserve">33 indicators: land, income, debt, crop disposal</t>
  </si>
  <si>
    <t xml:space="preserve">Survey</t>
  </si>
  <si>
    <t xml:space="preserve">Various</t>
  </si>
  <si>
    <t xml:space="preserve">NSS77</t>
  </si>
  <si>
    <t xml:space="preserve">One-off survey (2019)</t>
  </si>
  <si>
    <t xml:space="preserve">10-008</t>
  </si>
  <si>
    <t xml:space="preserve">Milk, egg, meat, fish production</t>
  </si>
  <si>
    <t xml:space="preserve">Dept. of Animal Husbandry &amp; Dairying</t>
  </si>
  <si>
    <t xml:space="preserve">Basic Animal Husbandry Statistics</t>
  </si>
  <si>
    <t xml:space="preserve">11-001</t>
  </si>
  <si>
    <t xml:space="preserve">Peak power demand &amp; energy met</t>
  </si>
  <si>
    <t xml:space="preserve">All-India, region, state</t>
  </si>
  <si>
    <t xml:space="preserve">GW, MU</t>
  </si>
  <si>
    <t xml:space="preserve">Grid-India</t>
  </si>
  <si>
    <t xml:space="preserve">Daily power supply position report</t>
  </si>
  <si>
    <t xml:space="preserve">Excellent daily activity proxy</t>
  </si>
  <si>
    <t xml:space="preserve">11-002</t>
  </si>
  <si>
    <t xml:space="preserve">Power generation by source</t>
  </si>
  <si>
    <t xml:space="preserve">Coal, gas, hydro, nuclear, solar, wind</t>
  </si>
  <si>
    <t xml:space="preserve">MU</t>
  </si>
  <si>
    <t xml:space="preserve">Grid-India / CEA</t>
  </si>
  <si>
    <t xml:space="preserve">Daily report; CEA monthly</t>
  </si>
  <si>
    <t xml:space="preserve">11-003</t>
  </si>
  <si>
    <t xml:space="preserve">Coal stocks at thermal power plants</t>
  </si>
  <si>
    <t xml:space="preserve">Plant-wise; days of stock</t>
  </si>
  <si>
    <t xml:space="preserve">Million tonnes; days</t>
  </si>
  <si>
    <t xml:space="preserve">CEA</t>
  </si>
  <si>
    <t xml:space="preserve">CEA daily coal stock report</t>
  </si>
  <si>
    <t xml:space="preserve">11-004</t>
  </si>
  <si>
    <t xml:space="preserve">Installed capacity by source</t>
  </si>
  <si>
    <t xml:space="preserve">Conventional &amp; renewable</t>
  </si>
  <si>
    <t xml:space="preserve">MW</t>
  </si>
  <si>
    <t xml:space="preserve">CEA installed capacity report</t>
  </si>
  <si>
    <t xml:space="preserve">11-005</t>
  </si>
  <si>
    <t xml:space="preserve">Renewable installed capacity by state</t>
  </si>
  <si>
    <t xml:space="preserve">Solar, wind, hydro, bio, total</t>
  </si>
  <si>
    <t xml:space="preserve">MNRE via MoSPI</t>
  </si>
  <si>
    <t xml:space="preserve">MNRE indicator 1–5</t>
  </si>
  <si>
    <t xml:space="preserve">2020→2026</t>
  </si>
  <si>
    <t xml:space="preserve">11-006</t>
  </si>
  <si>
    <t xml:space="preserve">Petroleum product consumption</t>
  </si>
  <si>
    <t xml:space="preserve">Petrol, diesel, ATF, LPG, naphtha, bitumen</t>
  </si>
  <si>
    <t xml:space="preserve">'000 tonnes</t>
  </si>
  <si>
    <t xml:space="preserve">ppac.gov.in consumption data</t>
  </si>
  <si>
    <t xml:space="preserve">Diesel = freight proxy; ATF = aviation</t>
  </si>
  <si>
    <t xml:space="preserve">11-007</t>
  </si>
  <si>
    <t xml:space="preserve">Crude oil production, imports &amp; import dependency</t>
  </si>
  <si>
    <t xml:space="preserve">'000 tonnes; %</t>
  </si>
  <si>
    <t xml:space="preserve">11-008</t>
  </si>
  <si>
    <t xml:space="preserve">Natural gas production, consumption &amp; LNG imports</t>
  </si>
  <si>
    <t xml:space="preserve">MMSCM</t>
  </si>
  <si>
    <t xml:space="preserve">11-009</t>
  </si>
  <si>
    <t xml:space="preserve">Energy balance</t>
  </si>
  <si>
    <t xml:space="preserve">Supply &amp; consumption, KToE and PJ</t>
  </si>
  <si>
    <t xml:space="preserve">KToE, PJ</t>
  </si>
  <si>
    <t xml:space="preserve">MoSPI – Energy Statistics</t>
  </si>
  <si>
    <t xml:space="preserve">ENERGY indicator 1, 2 × use code 1, 2</t>
  </si>
  <si>
    <t xml:space="preserve">2012-13→2023-24</t>
  </si>
  <si>
    <t xml:space="preserve">12-001</t>
  </si>
  <si>
    <t xml:space="preserve">RBI House Price Index</t>
  </si>
  <si>
    <t xml:space="preserve">All-India &amp; major cities</t>
  </si>
  <si>
    <t xml:space="preserve">12-002</t>
  </si>
  <si>
    <t xml:space="preserve">NHB RESIDEX (housing price index)</t>
  </si>
  <si>
    <t xml:space="preserve">City-wise</t>
  </si>
  <si>
    <t xml:space="preserve">National Housing Bank</t>
  </si>
  <si>
    <t xml:space="preserve">residex.nhbonline.org.in</t>
  </si>
  <si>
    <t xml:space="preserve">12-003</t>
  </si>
  <si>
    <t xml:space="preserve">Housing sales &amp; launches (top cities)</t>
  </si>
  <si>
    <t xml:space="preserve">Anarock / Knight Frank / PropEquity</t>
  </si>
  <si>
    <t xml:space="preserve">Public press summaries only</t>
  </si>
  <si>
    <t xml:space="preserve">12-004</t>
  </si>
  <si>
    <t xml:space="preserve">Construction activity proxy</t>
  </si>
  <si>
    <t xml:space="preserve">Cement + steel output, IIP infra/construction goods</t>
  </si>
  <si>
    <t xml:space="preserve">Computed</t>
  </si>
  <si>
    <t xml:space="preserve">From core industries &amp; IIP rows</t>
  </si>
  <si>
    <t xml:space="preserve">13-001</t>
  </si>
  <si>
    <t xml:space="preserve">Consumer Confidence Survey</t>
  </si>
  <si>
    <t xml:space="preserve">Current Situation Index, Future Expectations Index</t>
  </si>
  <si>
    <t xml:space="preserve">Bi-monthly</t>
  </si>
  <si>
    <t xml:space="preserve">RBI survey release</t>
  </si>
  <si>
    <t xml:space="preserve">13-002</t>
  </si>
  <si>
    <t xml:space="preserve">Inflation Expectations Survey of Households</t>
  </si>
  <si>
    <t xml:space="preserve">3-month &amp; 1-year ahead</t>
  </si>
  <si>
    <t xml:space="preserve">13-003</t>
  </si>
  <si>
    <t xml:space="preserve">Industrial Outlook Survey</t>
  </si>
  <si>
    <t xml:space="preserve">Business assessment &amp; expectations indices</t>
  </si>
  <si>
    <t xml:space="preserve">13-004</t>
  </si>
  <si>
    <t xml:space="preserve">Services &amp; Infrastructure Outlook Survey</t>
  </si>
  <si>
    <t xml:space="preserve">13-005</t>
  </si>
  <si>
    <t xml:space="preserve">Capacity utilisation in manufacturing (OBICUS)</t>
  </si>
  <si>
    <t xml:space="preserve">Seasonally adjusted</t>
  </si>
  <si>
    <t xml:space="preserve">RBI OBICUS release</t>
  </si>
  <si>
    <t xml:space="preserve">Key capex-cycle gauge</t>
  </si>
  <si>
    <t xml:space="preserve">13-006</t>
  </si>
  <si>
    <t xml:space="preserve">Survey of Professional Forecasters</t>
  </si>
  <si>
    <t xml:space="preserve">GDP, CPI, rates, CAD projections</t>
  </si>
  <si>
    <t xml:space="preserve">RBI SPF release</t>
  </si>
  <si>
    <t xml:space="preserve">13-007</t>
  </si>
  <si>
    <t xml:space="preserve">RBI MPC projections</t>
  </si>
  <si>
    <t xml:space="preserve">GDP growth &amp; CPI inflation, quarter-wise</t>
  </si>
  <si>
    <t xml:space="preserve">RBI – MPC statement</t>
  </si>
  <si>
    <t xml:space="preserve">Monetary policy statement</t>
  </si>
  <si>
    <t xml:space="preserve">Since 2016</t>
  </si>
  <si>
    <t xml:space="preserve">Compare actuals vs RBI path</t>
  </si>
  <si>
    <t xml:space="preserve">13-008</t>
  </si>
  <si>
    <t xml:space="preserve">Performance of private corporate business sector</t>
  </si>
  <si>
    <t xml:space="preserve">Listed non-government companies: sales, EBITDA, margins, interest cover</t>
  </si>
  <si>
    <t xml:space="preserve">RBI quarterly release</t>
  </si>
  <si>
    <t xml:space="preserve">14-001</t>
  </si>
  <si>
    <t xml:space="preserve">Household consumption (HCES): MPCE, fractiles, food share, Gini</t>
  </si>
  <si>
    <t xml:space="preserve">Rural/urban × state × social group</t>
  </si>
  <si>
    <t xml:space="preserve">₹, %</t>
  </si>
  <si>
    <t xml:space="preserve">HCES indicators 1–9</t>
  </si>
  <si>
    <t xml:space="preserve">14-002</t>
  </si>
  <si>
    <t xml:space="preserve">NFHS: health, fertility, mortality, nutrition</t>
  </si>
  <si>
    <t xml:space="preserve">21 sections × state</t>
  </si>
  <si>
    <t xml:space="preserve">MoHFW via MoSPI</t>
  </si>
  <si>
    <t xml:space="preserve">NFHS</t>
  </si>
  <si>
    <t xml:space="preserve">14-003</t>
  </si>
  <si>
    <t xml:space="preserve">Gender statistics</t>
  </si>
  <si>
    <t xml:space="preserve">147 indicators across domains</t>
  </si>
  <si>
    <t xml:space="preserve">MoSPI</t>
  </si>
  <si>
    <t xml:space="preserve">GENDER</t>
  </si>
  <si>
    <t xml:space="preserve">14-004</t>
  </si>
  <si>
    <t xml:space="preserve">School education (UDISE+)</t>
  </si>
  <si>
    <t xml:space="preserve">46 indicators: schools, enrolment, teachers</t>
  </si>
  <si>
    <t xml:space="preserve">Ministry of Education via MoSPI</t>
  </si>
  <si>
    <t xml:space="preserve">UDISE</t>
  </si>
  <si>
    <t xml:space="preserve">14-005</t>
  </si>
  <si>
    <t xml:space="preserve">Higher education (AISHE)</t>
  </si>
  <si>
    <t xml:space="preserve">Universities, colleges, enrolment, GER</t>
  </si>
  <si>
    <t xml:space="preserve">AISHE</t>
  </si>
  <si>
    <t xml:space="preserve">14-006</t>
  </si>
  <si>
    <t xml:space="preserve">Time Use Survey</t>
  </si>
  <si>
    <t xml:space="preserve">41 indicators: paid/unpaid work, time by activity</t>
  </si>
  <si>
    <t xml:space="preserve">%, minutes</t>
  </si>
  <si>
    <t xml:space="preserve">TUS</t>
  </si>
  <si>
    <t xml:space="preserve">14-007</t>
  </si>
  <si>
    <t xml:space="preserve">NSS thematic rounds</t>
  </si>
  <si>
    <t xml:space="preserve">73 (enterprises), 75 (health, education), 76 (disability, WASH), 78 (living conditions), 79 (CAMS, AYUSH), 80 (CAMS, education spending)</t>
  </si>
  <si>
    <t xml:space="preserve">NSS73, NSS75/75E, NSS76/76C, NSS78, NSS79, NSS80/80C</t>
  </si>
  <si>
    <t xml:space="preserve">One-off surveys</t>
  </si>
  <si>
    <t xml:space="preserve">Digital access, internet, mobile use are in NSS78/80</t>
  </si>
  <si>
    <t xml:space="preserve">14-008</t>
  </si>
  <si>
    <t xml:space="preserve">Economic Census (EC4, EC5, EC6)</t>
  </si>
  <si>
    <t xml:space="preserve">District-wise establishments &amp; workers</t>
  </si>
  <si>
    <t xml:space="preserve">One-off</t>
  </si>
  <si>
    <t xml:space="preserve">EC indicator 1–3</t>
  </si>
  <si>
    <t xml:space="preserve">1998, 2005, 2013-14</t>
  </si>
  <si>
    <t xml:space="preserve">14-009</t>
  </si>
  <si>
    <t xml:space="preserve">Environment statistics</t>
  </si>
  <si>
    <t xml:space="preserve">126 indicators: climate, water, forests, pollution</t>
  </si>
  <si>
    <t xml:space="preserve">ENVSTATS</t>
  </si>
  <si>
    <t xml:space="preserve">14-010</t>
  </si>
  <si>
    <t xml:space="preserve">Population projections</t>
  </si>
  <si>
    <t xml:space="preserve">National &amp; state, by age</t>
  </si>
  <si>
    <t xml:space="preserve">RGI / MoHFW Technical Group</t>
  </si>
  <si>
    <t xml:space="preserve">Population projections report</t>
  </si>
  <si>
    <t xml:space="preserve">Projections</t>
  </si>
  <si>
    <t xml:space="preserve">Needed for all per-capita ratios</t>
  </si>
  <si>
    <t xml:space="preserve">14-011</t>
  </si>
  <si>
    <t xml:space="preserve">Vital rates: birth, death, infant mortality (SRS)</t>
  </si>
  <si>
    <t xml:space="preserve">Per 1,000</t>
  </si>
  <si>
    <t xml:space="preserve">Registrar General of India</t>
  </si>
  <si>
    <t xml:space="preserve">SRS bulletin</t>
  </si>
  <si>
    <t xml:space="preserve">14-012</t>
  </si>
  <si>
    <t xml:space="preserve">Multidimensional poverty index</t>
  </si>
  <si>
    <t xml:space="preserve">Occasional</t>
  </si>
  <si>
    <t xml:space="preserve">% population</t>
  </si>
  <si>
    <t xml:space="preserve">NITI Aayog</t>
  </si>
  <si>
    <t xml:space="preserve">MPI report</t>
  </si>
  <si>
    <t xml:space="preserve">15-001</t>
  </si>
  <si>
    <t xml:space="preserve">GSDP &amp; per capita NSDP</t>
  </si>
  <si>
    <t xml:space="preserve">Current &amp; constant prices × state</t>
  </si>
  <si>
    <t xml:space="preserve">₹ crore; ₹</t>
  </si>
  <si>
    <t xml:space="preserve">MoSPI / RBI Handbook of Statistics on Indian States</t>
  </si>
  <si>
    <t xml:space="preserve">RBI Handbook tables; MoSPI state GDP files</t>
  </si>
  <si>
    <t xml:space="preserve">15-002</t>
  </si>
  <si>
    <t xml:space="preserve">State dashboard (combined)</t>
  </si>
  <si>
    <t xml:space="preserve">State-wise CPI, PLFS, GST, e-way bills, vehicle registrations, power demand, credit</t>
  </si>
  <si>
    <t xml:space="preserve">Mixed</t>
  </si>
  <si>
    <t xml:space="preserve">Computed from rows above</t>
  </si>
  <si>
    <t xml:space="preserve">Join on standard state codes</t>
  </si>
  <si>
    <t xml:space="preserve">Needs one master state-code table</t>
  </si>
  <si>
    <t xml:space="preserve">15-003</t>
  </si>
  <si>
    <t xml:space="preserve">District indicators</t>
  </si>
  <si>
    <t xml:space="preserve">Bank credit/deposits (BSR), MGNREGA, rainfall, Economic Census</t>
  </si>
  <si>
    <t xml:space="preserve">RBI, MoRD, IMD, MoSPI</t>
  </si>
  <si>
    <t xml:space="preserve">Join on LGD district codes</t>
  </si>
  <si>
    <t xml:space="preserve">16-001</t>
  </si>
  <si>
    <t xml:space="preserve">World Development Indicators (India + peers)</t>
  </si>
  <si>
    <t xml:space="preserve">GDP, per capita, trade % GDP, inflation… for India, China, Indonesia, Brazil, Vietnam…</t>
  </si>
  <si>
    <t xml:space="preserve">World Bank</t>
  </si>
  <si>
    <t xml:space="preserve">wbgapi Python package</t>
  </si>
  <si>
    <t xml:space="preserve">16-002</t>
  </si>
  <si>
    <t xml:space="preserve">IMF World Economic Outlook projections</t>
  </si>
  <si>
    <t xml:space="preserve">Growth, inflation, current account, debt</t>
  </si>
  <si>
    <t xml:space="preserve">Semi-annual</t>
  </si>
  <si>
    <t xml:space="preserve">IMF</t>
  </si>
  <si>
    <t xml:space="preserve">IMF DataMapper API</t>
  </si>
  <si>
    <t xml:space="preserve">16-003</t>
  </si>
  <si>
    <t xml:space="preserve">IMF IFS / BOP cross-country data</t>
  </si>
  <si>
    <t xml:space="preserve">IMF SDMX API</t>
  </si>
  <si>
    <t xml:space="preserve">16-004</t>
  </si>
  <si>
    <t xml:space="preserve">BIS: credit-to-GDP gaps, property prices, policy rates, REER</t>
  </si>
  <si>
    <t xml:space="preserve">Q, M</t>
  </si>
  <si>
    <t xml:space="preserve">Bank for International Settlements</t>
  </si>
  <si>
    <t xml:space="preserve">BIS SDMX API</t>
  </si>
  <si>
    <t xml:space="preserve">16-005</t>
  </si>
  <si>
    <t xml:space="preserve">OECD Composite Leading Indicators (incl. India)</t>
  </si>
  <si>
    <t xml:space="preserve">OECD</t>
  </si>
  <si>
    <t xml:space="preserve">OECD SDMX API</t>
  </si>
  <si>
    <t xml:space="preserve">16-006</t>
  </si>
  <si>
    <t xml:space="preserve">US rates &amp; inflation</t>
  </si>
  <si>
    <t xml:space="preserve">Fed funds, US 10Y, US CPI</t>
  </si>
  <si>
    <t xml:space="preserve">Federal Reserve / BLS via FRED</t>
  </si>
  <si>
    <t xml:space="preserve">FRED API (free key); US 10Y also yfinance ^TNX</t>
  </si>
  <si>
    <t xml:space="preserve">US 10Y on Yahoo 1962→ (verified) · FRED not yet tested</t>
  </si>
  <si>
    <t xml:space="preserve">Global rate driver of FPI flows</t>
  </si>
  <si>
    <t xml:space="preserve">16-007</t>
  </si>
  <si>
    <t xml:space="preserve">US Dollar Index (DXY)</t>
  </si>
  <si>
    <t xml:space="preserve">ICE via Yahoo</t>
  </si>
  <si>
    <t xml:space="preserve">yfinance DX-Y.NYB</t>
  </si>
  <si>
    <t xml:space="preserve">1971→</t>
  </si>
  <si>
    <t xml:space="preserve">16-008</t>
  </si>
  <si>
    <t xml:space="preserve">Global equity indices</t>
  </si>
  <si>
    <t xml:space="preserve">S&amp;P 500, Nasdaq, Dow, Nikkei, Hang Seng, FTSE</t>
  </si>
  <si>
    <t xml:space="preserve">Yahoo</t>
  </si>
  <si>
    <t xml:space="preserve">yfinance ^GSPC, ^IXIC …</t>
  </si>
  <si>
    <t xml:space="preserve">S&amp;P 500 1927→ · Nasdaq 1971→ · Dow 1992→ · Nikkei 1965→ · Hang Seng 1986→ · FTSE 1984→</t>
  </si>
  <si>
    <t xml:space="preserve">16-009</t>
  </si>
  <si>
    <t xml:space="preserve">Bilateral trade (mirror data)</t>
  </si>
  <si>
    <t xml:space="preserve">Partner × HS code</t>
  </si>
  <si>
    <t xml:space="preserve">A, M</t>
  </si>
  <si>
    <t xml:space="preserve">UN Comtrade</t>
  </si>
  <si>
    <t xml:space="preserve">Comtrade API (free key, rate-limited)</t>
  </si>
  <si>
    <t xml:space="preserve">16-010</t>
  </si>
  <si>
    <t xml:space="preserve">DBnomics aggregator</t>
  </si>
  <si>
    <t xml:space="preserve">One API mirroring IMF, World Bank, OECD, BIS, Eurostat and more</t>
  </si>
  <si>
    <t xml:space="preserve">DBnomics</t>
  </si>
  <si>
    <t xml:space="preserve">db.nomics.world API</t>
  </si>
  <si>
    <t xml:space="preserve">Handy single fallback for many international series</t>
  </si>
  <si>
    <t xml:space="preserve">17-001</t>
  </si>
  <si>
    <t xml:space="preserve">Real &amp; nominal GDP growth (YoY, QoQ)</t>
  </si>
  <si>
    <t xml:space="preserve">From NAS</t>
  </si>
  <si>
    <t xml:space="preserve">SQL view</t>
  </si>
  <si>
    <t xml:space="preserve">17-002</t>
  </si>
  <si>
    <t xml:space="preserve">Linked long series across base years</t>
  </si>
  <si>
    <t xml:space="preserve">CPI 2012→2024, WPI &amp; IIP 2011-12→2022-23, GDP 2011-12→2022-23</t>
  </si>
  <si>
    <t xml:space="preserve">Index / ₹</t>
  </si>
  <si>
    <t xml:space="preserve">From official linking factors</t>
  </si>
  <si>
    <t xml:space="preserve">Stored as separate linked series – never overwrite originals</t>
  </si>
  <si>
    <t xml:space="preserve">The single most useful thing for long-run analysis</t>
  </si>
  <si>
    <t xml:space="preserve">17-003</t>
  </si>
  <si>
    <t xml:space="preserve">Core CPI momentum (3M/3M annualised, seasonally adjusted)</t>
  </si>
  <si>
    <t xml:space="preserve">From CPI</t>
  </si>
  <si>
    <t xml:space="preserve">Seasonal adjustment (X-13 / STL)</t>
  </si>
  <si>
    <t xml:space="preserve">17-004</t>
  </si>
  <si>
    <t xml:space="preserve">Real policy rate</t>
  </si>
  <si>
    <t xml:space="preserve">Repo − CPI inflation (actual &amp; expected)</t>
  </si>
  <si>
    <t xml:space="preserve">From policy rate + CPI</t>
  </si>
  <si>
    <t xml:space="preserve">17-005</t>
  </si>
  <si>
    <t xml:space="preserve">Term spread &amp; yield-curve slope</t>
  </si>
  <si>
    <t xml:space="preserve">10Y G-sec − 91D T-bill; 10Y − repo</t>
  </si>
  <si>
    <t xml:space="preserve">bps</t>
  </si>
  <si>
    <t xml:space="preserve">From FBIL / RBI</t>
  </si>
  <si>
    <t xml:space="preserve">17-006</t>
  </si>
  <si>
    <t xml:space="preserve">Credit growth &amp; credit-deposit ratio</t>
  </si>
  <si>
    <t xml:space="preserve">Aggregate &amp; incremental</t>
  </si>
  <si>
    <t xml:space="preserve">From RBI</t>
  </si>
  <si>
    <t xml:space="preserve">17-007</t>
  </si>
  <si>
    <t xml:space="preserve">Fiscal deficit &amp; tax buoyancy</t>
  </si>
  <si>
    <t xml:space="preserve">% of GDP; tax growth ÷ nominal GDP growth</t>
  </si>
  <si>
    <t xml:space="preserve">From CGA + NAS</t>
  </si>
  <si>
    <t xml:space="preserve">17-008</t>
  </si>
  <si>
    <t xml:space="preserve">External vulnerability ratios</t>
  </si>
  <si>
    <t xml:space="preserve">CAD % GDP; import cover of reserves (months); short-term debt ÷ reserves</t>
  </si>
  <si>
    <t xml:space="preserve">%, months</t>
  </si>
  <si>
    <t xml:space="preserve">From BoP, trade, reserves, debt</t>
  </si>
  <si>
    <t xml:space="preserve">17-009</t>
  </si>
  <si>
    <t xml:space="preserve">Net oil import bill</t>
  </si>
  <si>
    <t xml:space="preserve">Oil imports − oil exports</t>
  </si>
  <si>
    <t xml:space="preserve">From trade (RBI codes 24/42)</t>
  </si>
  <si>
    <t xml:space="preserve">17-010</t>
  </si>
  <si>
    <t xml:space="preserve">EV share of vehicle registrations</t>
  </si>
  <si>
    <t xml:space="preserve">By vehicle class &amp; state</t>
  </si>
  <si>
    <t xml:space="preserve">From Vahan</t>
  </si>
  <si>
    <t xml:space="preserve">17-011</t>
  </si>
  <si>
    <t xml:space="preserve">Seasonally adjusted activity series</t>
  </si>
  <si>
    <t xml:space="preserve">IIP, core, GST, e-way bills, power demand</t>
  </si>
  <si>
    <t xml:space="preserve">X-13 / STL in Python</t>
  </si>
  <si>
    <t xml:space="preserve">17-012</t>
  </si>
  <si>
    <t xml:space="preserve">High-frequency activity tracker (nowcast)</t>
  </si>
  <si>
    <t xml:space="preserve">Composite of e-way bills, GST, power, diesel, freight, UPI, PMI, vehicles</t>
  </si>
  <si>
    <t xml:space="preserve">Index / z-score</t>
  </si>
  <si>
    <t xml:space="preserve">Dynamic factor / simple z-score average</t>
  </si>
  <si>
    <t xml:space="preserve">Early read on GDP before the official release</t>
  </si>
  <si>
    <t xml:space="preserve">17-013</t>
  </si>
  <si>
    <t xml:space="preserve">Financial conditions index</t>
  </si>
  <si>
    <t xml:space="preserve">Spreads, VIX, INR, liquidity, equity returns</t>
  </si>
  <si>
    <t xml:space="preserve">Weighted z-scores</t>
  </si>
  <si>
    <t xml:space="preserve">17-014</t>
  </si>
  <si>
    <t xml:space="preserve">Inflation &amp; growth surprises</t>
  </si>
  <si>
    <t xml:space="preserve">Actual − RBI projection / consensus</t>
  </si>
  <si>
    <t xml:space="preserve">pp</t>
  </si>
  <si>
    <t xml:space="preserve">MoSPI API – history coverage from YOUR test runs (02 and 02b, 11-Sep-2026)</t>
  </si>
  <si>
    <t xml:space="preserve">Source: output/mospi_history.xlsx. Periods are those the API lists as available. FY = April–March.</t>
  </si>
  <si>
    <t xml:space="preserve">Dataset</t>
  </si>
  <si>
    <t xml:space="preserve">Probe (base year / frequency)</t>
  </si>
  <si>
    <t xml:space="preserve">Period field</t>
  </si>
  <si>
    <t xml:space="preserve">No. of periods</t>
  </si>
  <si>
    <t xml:space="preserve">Earliest</t>
  </si>
  <si>
    <t xml:space="preserve">Latest</t>
  </si>
  <si>
    <t xml:space="preserve">Note</t>
  </si>
  <si>
    <t xml:space="preserve">CPI</t>
  </si>
  <si>
    <t xml:space="preserve">base 2024 | Group | Current</t>
  </si>
  <si>
    <t xml:space="preserve">year</t>
  </si>
  <si>
    <t xml:space="preserve">(not listed)</t>
  </si>
  <si>
    <t xml:space="preserve">Year list not exposed for 2024 base; your data sample contains 2026 data</t>
  </si>
  <si>
    <t xml:space="preserve">base 2024 | Item | Current</t>
  </si>
  <si>
    <t xml:space="preserve">base 2012 | Group | Current</t>
  </si>
  <si>
    <t xml:space="preserve">2011</t>
  </si>
  <si>
    <t xml:space="preserve">2025</t>
  </si>
  <si>
    <t xml:space="preserve">base 2012 | Item | Current</t>
  </si>
  <si>
    <t xml:space="preserve">2014</t>
  </si>
  <si>
    <t xml:space="preserve">base 2024 | Group | Back series</t>
  </si>
  <si>
    <t xml:space="preserve">WPI</t>
  </si>
  <si>
    <t xml:space="preserve">base 2022-23</t>
  </si>
  <si>
    <t xml:space="preserve">2023</t>
  </si>
  <si>
    <t xml:space="preserve">2026</t>
  </si>
  <si>
    <t xml:space="preserve">base 2011-12</t>
  </si>
  <si>
    <t xml:space="preserve">2012</t>
  </si>
  <si>
    <t xml:space="preserve">base 2022-23 | Monthly</t>
  </si>
  <si>
    <t xml:space="preserve">base 2022-23 | Annually</t>
  </si>
  <si>
    <t xml:space="preserve">financial_year</t>
  </si>
  <si>
    <t xml:space="preserve">2023-24</t>
  </si>
  <si>
    <t xml:space="preserve">2025-26</t>
  </si>
  <si>
    <t xml:space="preserve">base 2011-12 | Monthly</t>
  </si>
  <si>
    <t xml:space="preserve">base 2011-12 | Annually</t>
  </si>
  <si>
    <t xml:space="preserve">2012-13</t>
  </si>
  <si>
    <t xml:space="preserve">ASI</t>
  </si>
  <si>
    <t xml:space="preserve">NIC classification 2008</t>
  </si>
  <si>
    <t xml:space="preserve">2008-09</t>
  </si>
  <si>
    <t xml:space="preserve">NIC classification 2004</t>
  </si>
  <si>
    <t xml:space="preserve">2004-05</t>
  </si>
  <si>
    <t xml:space="preserve">2007-08</t>
  </si>
  <si>
    <t xml:space="preserve">ISP</t>
  </si>
  <si>
    <t xml:space="preserve">frequency Yearly</t>
  </si>
  <si>
    <t xml:space="preserve">frequency Monthly</t>
  </si>
  <si>
    <t xml:space="preserve">2026-27</t>
  </si>
  <si>
    <t xml:space="preserve">NAS</t>
  </si>
  <si>
    <t xml:space="preserve">1  | base 2022-23 | Annual</t>
  </si>
  <si>
    <t xml:space="preserve">2022-23</t>
  </si>
  <si>
    <t xml:space="preserve">1  | base 2022-23 | Quarterly</t>
  </si>
  <si>
    <t xml:space="preserve">1  | base 2011-12 | Annual</t>
  </si>
  <si>
    <t xml:space="preserve">2011-12</t>
  </si>
  <si>
    <t xml:space="preserve">1  | base 2011-12 | Quarterly</t>
  </si>
  <si>
    <t xml:space="preserve">2  | base 2022-23 | Annual</t>
  </si>
  <si>
    <t xml:space="preserve">2  | base 2022-23 | Quarterly</t>
  </si>
  <si>
    <t xml:space="preserve">2  | base 2011-12 | Annual</t>
  </si>
  <si>
    <t xml:space="preserve">2  | base 2011-12 | Quarterly</t>
  </si>
  <si>
    <t xml:space="preserve">3  | base 2022-23 | Annual</t>
  </si>
  <si>
    <t xml:space="preserve">2024-25</t>
  </si>
  <si>
    <t xml:space="preserve">3  | base 2011-12 | Annual</t>
  </si>
  <si>
    <t xml:space="preserve">4  | base 2022-23 | Annual</t>
  </si>
  <si>
    <t xml:space="preserve">4  | base 2011-12 | Annual</t>
  </si>
  <si>
    <t xml:space="preserve">5  | base 2022-23 | Annual</t>
  </si>
  <si>
    <t xml:space="preserve">5  | base 2022-23 | Quarterly</t>
  </si>
  <si>
    <t xml:space="preserve">5  | base 2011-12 | Annual</t>
  </si>
  <si>
    <t xml:space="preserve">5  | base 2011-12 | Quarterly</t>
  </si>
  <si>
    <t xml:space="preserve">6  | base 2022-23 | Annual</t>
  </si>
  <si>
    <t xml:space="preserve">6  | base 2011-12 | Annual</t>
  </si>
  <si>
    <t xml:space="preserve">7  | base 2022-23 | Annual</t>
  </si>
  <si>
    <t xml:space="preserve">7  | base 2011-12 | Annual</t>
  </si>
  <si>
    <t xml:space="preserve">8  | base 2022-23 | Annual</t>
  </si>
  <si>
    <t xml:space="preserve">8  | base 2011-12 | Annual</t>
  </si>
  <si>
    <t xml:space="preserve">9  | base 2022-23 | Annual</t>
  </si>
  <si>
    <t xml:space="preserve">9  | base 2022-23 | Quarterly</t>
  </si>
  <si>
    <t xml:space="preserve">9  | base 2011-12 | Annual</t>
  </si>
  <si>
    <t xml:space="preserve">9  | base 2011-12 | Quarterly</t>
  </si>
  <si>
    <t xml:space="preserve">10  | base 2022-23 | Annual</t>
  </si>
  <si>
    <t xml:space="preserve">10  | base 2022-23 | Quarterly</t>
  </si>
  <si>
    <t xml:space="preserve">10  | base 2011-12 | Annual</t>
  </si>
  <si>
    <t xml:space="preserve">10  | base 2011-12 | Quarterly</t>
  </si>
  <si>
    <t xml:space="preserve">11  | base 2022-23 | Annual</t>
  </si>
  <si>
    <t xml:space="preserve">11  | base 2022-23 | Quarterly</t>
  </si>
  <si>
    <t xml:space="preserve">11  | base 2011-12 | Annual</t>
  </si>
  <si>
    <t xml:space="preserve">11  | base 2011-12 | Quarterly</t>
  </si>
  <si>
    <t xml:space="preserve">12  | base 2022-23 | Annual</t>
  </si>
  <si>
    <t xml:space="preserve">12  | base 2022-23 | Quarterly</t>
  </si>
  <si>
    <t xml:space="preserve">12  | base 2011-12 | Annual</t>
  </si>
  <si>
    <t xml:space="preserve">12  | base 2011-12 | Quarterly</t>
  </si>
  <si>
    <t xml:space="preserve">13  | base 2022-23 | Annual</t>
  </si>
  <si>
    <t xml:space="preserve">13  | base 2022-23 | Quarterly</t>
  </si>
  <si>
    <t xml:space="preserve">13  | base 2011-12 | Annual</t>
  </si>
  <si>
    <t xml:space="preserve">13  | base 2011-12 | Quarterly</t>
  </si>
  <si>
    <t xml:space="preserve">14  | base 2022-23 | Annual</t>
  </si>
  <si>
    <t xml:space="preserve">14  | base 2022-23 | Quarterly</t>
  </si>
  <si>
    <t xml:space="preserve">14  | base 2011-12 | Annual</t>
  </si>
  <si>
    <t xml:space="preserve">14  | base 2011-12 | Quarterly</t>
  </si>
  <si>
    <t xml:space="preserve">15  | base 2022-23 | Annual</t>
  </si>
  <si>
    <t xml:space="preserve">15  | base 2022-23 | Quarterly</t>
  </si>
  <si>
    <t xml:space="preserve">15  | base 2011-12 | Annual</t>
  </si>
  <si>
    <t xml:space="preserve">15  | base 2011-12 | Quarterly</t>
  </si>
  <si>
    <t xml:space="preserve">16  | base 2022-23 | Annual</t>
  </si>
  <si>
    <t xml:space="preserve">16  | base 2011-12 | Annual</t>
  </si>
  <si>
    <t xml:space="preserve">17  | base 2022-23 | Annual</t>
  </si>
  <si>
    <t xml:space="preserve">17  | base 2011-12 | Annual</t>
  </si>
  <si>
    <t xml:space="preserve">18  | base 2022-23 | Annual</t>
  </si>
  <si>
    <t xml:space="preserve">18  | base 2011-12 | Annual</t>
  </si>
  <si>
    <t xml:space="preserve">19  | base 2022-23 | Annual</t>
  </si>
  <si>
    <t xml:space="preserve">19  | base 2011-12 | Annual</t>
  </si>
  <si>
    <t xml:space="preserve">1999</t>
  </si>
  <si>
    <t xml:space="preserve">20  | base 2022-23 | Annual</t>
  </si>
  <si>
    <t xml:space="preserve">20  | base 2011-12 | Annual</t>
  </si>
  <si>
    <t xml:space="preserve">21  | base 2022-23 | Annual</t>
  </si>
  <si>
    <t xml:space="preserve">21  | base 2022-23 | Quarterly</t>
  </si>
  <si>
    <t xml:space="preserve">21  | base 2011-12 | Annual</t>
  </si>
  <si>
    <t xml:space="preserve">21  | base 2011-12 | Quarterly</t>
  </si>
  <si>
    <t xml:space="preserve">22  | base 2022-23 | Annual</t>
  </si>
  <si>
    <t xml:space="preserve">22  | base 2022-23 | Quarterly</t>
  </si>
  <si>
    <t xml:space="preserve">22  | base 2011-12 | Annual</t>
  </si>
  <si>
    <t xml:space="preserve">22  | base 2011-12 | Quarterly</t>
  </si>
  <si>
    <t xml:space="preserve">CPIALRL</t>
  </si>
  <si>
    <t xml:space="preserve">1 General Index</t>
  </si>
  <si>
    <t xml:space="preserve">1999-2000</t>
  </si>
  <si>
    <t xml:space="preserve">2 Group Index</t>
  </si>
  <si>
    <t xml:space="preserve">MNRE</t>
  </si>
  <si>
    <t xml:space="preserve">1 Solar</t>
  </si>
  <si>
    <t xml:space="preserve">2020</t>
  </si>
  <si>
    <t xml:space="preserve">2 Wind</t>
  </si>
  <si>
    <t xml:space="preserve">3 Hydro</t>
  </si>
  <si>
    <t xml:space="preserve">4 Bio</t>
  </si>
  <si>
    <t xml:space="preserve">5 Total</t>
  </si>
  <si>
    <t xml:space="preserve">PLFS</t>
  </si>
  <si>
    <t xml:space="preserve">1 LFPR (Labour Force Participa | freq 1 | agri/FY year  (re-test)</t>
  </si>
  <si>
    <t xml:space="preserve">2017-18</t>
  </si>
  <si>
    <t xml:space="preserve">From 02b re-test</t>
  </si>
  <si>
    <t xml:space="preserve">1 LFPR (Labour Force Participa | freq 1 | calendar year  (re-test)</t>
  </si>
  <si>
    <t xml:space="preserve">2 WPR (Worker Population Ratio | freq 1 | agri/FY year  (re-test)</t>
  </si>
  <si>
    <t xml:space="preserve">2 WPR (Worker Population Ratio | freq 1 | calendar year  (re-test)</t>
  </si>
  <si>
    <t xml:space="preserve">3 UR (Unemployment Rate, in pe | freq 1 | agri/FY year  (re-test)</t>
  </si>
  <si>
    <t xml:space="preserve">3 UR (Unemployment Rate, in pe | freq 1 | calendar year  (re-test)</t>
  </si>
  <si>
    <t xml:space="preserve">4 Percentage distribution of w | freq 1 | agri/FY year  (re-test)</t>
  </si>
  <si>
    <t xml:space="preserve">4 Percentage distribution of w | freq 1 | calendar year  (re-test)</t>
  </si>
  <si>
    <t xml:space="preserve">5 Percentage of regular wage/  | freq 1 | agri/FY year  (re-test)</t>
  </si>
  <si>
    <t xml:space="preserve">5 Percentage of regular wage/  | freq 1 | calendar year  (re-test)</t>
  </si>
  <si>
    <t xml:space="preserve">6 Average wage/salary earnings | freq 1 | agri/FY year  (re-test)</t>
  </si>
  <si>
    <t xml:space="preserve">6 Average wage/salary earnings | freq 1 | calendar year  (re-test)</t>
  </si>
  <si>
    <t xml:space="preserve">7 Average wage earnings (Rs. 0 | freq 1 | agri/FY year  (re-test)</t>
  </si>
  <si>
    <t xml:space="preserve">7 Average wage earnings (Rs. 0 | freq 1 | calendar year  (re-test)</t>
  </si>
  <si>
    <t xml:space="preserve">8 Average gross earnings (Rs.  | freq 1 | agri/FY year  (re-test)</t>
  </si>
  <si>
    <t xml:space="preserve">8 Average gross earnings (Rs.  | freq 1 | calendar year  (re-test)</t>
  </si>
  <si>
    <t xml:space="preserve">1 LFPR (Labour Force Participa | freq 2 | agri/FY year  (re-test)</t>
  </si>
  <si>
    <t xml:space="preserve">2018</t>
  </si>
  <si>
    <t xml:space="preserve">1 LFPR (Labour Force Participa | freq 2 | calendar year  (re-test)</t>
  </si>
  <si>
    <t xml:space="preserve">2 WPR (Worker Population Ratio | freq 2 | agri/FY year  (re-test)</t>
  </si>
  <si>
    <t xml:space="preserve">2 WPR (Worker Population Ratio | freq 2 | calendar year  (re-test)</t>
  </si>
  <si>
    <t xml:space="preserve">3 UR (Unemployment Rate, in pe | freq 2 | agri/FY year  (re-test)</t>
  </si>
  <si>
    <t xml:space="preserve">3 UR (Unemployment Rate, in pe | freq 2 | calendar year  (re-test)</t>
  </si>
  <si>
    <t xml:space="preserve">4 Percentage distribution of w | freq 2 | agri/FY year  (re-test)</t>
  </si>
  <si>
    <t xml:space="preserve">4 Percentage distribution of w | freq 2 | calendar year  (re-test)</t>
  </si>
  <si>
    <t xml:space="preserve">1 LFPR (Labour Force Participa | freq 3 | agri/FY year  (re-test)</t>
  </si>
  <si>
    <t xml:space="preserve">1 LFPR (Labour Force Participa | freq 3 | calendar year  (re-test)</t>
  </si>
  <si>
    <t xml:space="preserve">2 WPR (Worker Population Ratio | freq 3 | agri/FY year  (re-test)</t>
  </si>
  <si>
    <t xml:space="preserve">2 WPR (Worker Population Ratio | freq 3 | calendar year  (re-test)</t>
  </si>
  <si>
    <t xml:space="preserve">3 UR (Unemployment Rate, in pe | freq 3 | agri/FY year  (re-test)</t>
  </si>
  <si>
    <t xml:space="preserve">3 UR (Unemployment Rate, in pe | freq 3 | calendar year  (re-test)</t>
  </si>
  <si>
    <t xml:space="preserve">22 Balance of Payments ‑ Indicators  (re-test)</t>
  </si>
  <si>
    <t xml:space="preserve">1970-71</t>
  </si>
  <si>
    <t xml:space="preserve">24 Broad Commodity Composition of India's Mercha  (re-test)</t>
  </si>
  <si>
    <t xml:space="preserve">1997-98</t>
  </si>
  <si>
    <t xml:space="preserve">42 Broad Commodity Composition of India’s Mercha  (re-test)</t>
  </si>
  <si>
    <t xml:space="preserve">1 Direction of Foreign Trade ‑ Rupees  (re-test)</t>
  </si>
  <si>
    <t xml:space="preserve">2009-10</t>
  </si>
  <si>
    <t xml:space="preserve">11 Direction of Foreign Trade ‑ US Dollars  (re-test)</t>
  </si>
  <si>
    <t xml:space="preserve">32 Exchange Rate of the Indian Rupee Vis‑a‑Vis t  (re-test)</t>
  </si>
  <si>
    <t xml:space="preserve">1970</t>
  </si>
  <si>
    <t xml:space="preserve">2024</t>
  </si>
  <si>
    <t xml:space="preserve">31 Exchange Rate of the Indian Rupee Vis‑A‑Vis t  (re-test)</t>
  </si>
  <si>
    <t xml:space="preserve">35 Exchange Rate of the Indian Rupee vis-à-vis t  (re-test)</t>
  </si>
  <si>
    <t xml:space="preserve">2008</t>
  </si>
  <si>
    <t xml:space="preserve">33 Exchange Rate of the Indian Rupee vis-à-vis t  (re-test)</t>
  </si>
  <si>
    <t xml:space="preserve">1992</t>
  </si>
  <si>
    <t xml:space="preserve">43 EXPORTS OF MAJOR COMMODITIES - RUPEES  (re-test)</t>
  </si>
  <si>
    <t xml:space="preserve">44 EXPORTS OF MAJOR COMMODITIES - US Dollars  (re-test)</t>
  </si>
  <si>
    <t xml:space="preserve">2 Exports of Select Commodities to Principal Co  (re-test)</t>
  </si>
  <si>
    <t xml:space="preserve">2013-14</t>
  </si>
  <si>
    <t xml:space="preserve">20 Exports of Select Commodities to Principal Co  (re-test)</t>
  </si>
  <si>
    <t xml:space="preserve">27 External Debt of India ‑ Quarterly  (re-test)</t>
  </si>
  <si>
    <t xml:space="preserve">2021</t>
  </si>
  <si>
    <t xml:space="preserve">48 Foreign Exchange Reserve Annual  (re-test)</t>
  </si>
  <si>
    <t xml:space="preserve">1950-51</t>
  </si>
  <si>
    <t xml:space="preserve">47  Foreign Exchange Reserve Monthly  (re-test)</t>
  </si>
  <si>
    <t xml:space="preserve">1990</t>
  </si>
  <si>
    <t xml:space="preserve">29 Forex Rates ‑ Month‑High / Month‑Low  (re-test)</t>
  </si>
  <si>
    <t xml:space="preserve">1998</t>
  </si>
  <si>
    <t xml:space="preserve">34 Forward Premia (Inter‑Bank) (Monthly Average)  (re-test)</t>
  </si>
  <si>
    <t xml:space="preserve">1993</t>
  </si>
  <si>
    <t xml:space="preserve">45 Imports of Major Commodities - Rupees  (re-test)</t>
  </si>
  <si>
    <t xml:space="preserve">46 Imports of Major Commodities - US Dollars  (re-test)</t>
  </si>
  <si>
    <t xml:space="preserve">26 India's External Debt ‑ Rupees (End‑March)  (re-test)</t>
  </si>
  <si>
    <t xml:space="preserve">1991</t>
  </si>
  <si>
    <t xml:space="preserve">25 India's External Debt ‑ US Dollars (End‑March  (re-test)</t>
  </si>
  <si>
    <t xml:space="preserve">13 India's Foreign Trade – Rupees  (re-test)</t>
  </si>
  <si>
    <t xml:space="preserve">1990-91</t>
  </si>
  <si>
    <t xml:space="preserve">17 India's Foreign Trade – Rupees-Annual  (re-test)</t>
  </si>
  <si>
    <t xml:space="preserve">12 India's Foreign Trade ‑ US Dollars  (re-test)</t>
  </si>
  <si>
    <t xml:space="preserve">16 India's Foreign Trade ‑ US Dollars - Annual  (re-test)</t>
  </si>
  <si>
    <t xml:space="preserve">10 India’s Overall Balance of Payments – Quarter  (re-test)</t>
  </si>
  <si>
    <t xml:space="preserve">4 India's Overall Balance of Payments ‑ Quarter  (re-test)</t>
  </si>
  <si>
    <t xml:space="preserve">6 India's Overall Balance of Payments – Rupees  (re-test)</t>
  </si>
  <si>
    <t xml:space="preserve">5 India's Overall Balance of Payments ‑ US Doll  (re-test)</t>
  </si>
  <si>
    <t xml:space="preserve">14 Invisibles by Category of Transactions – Rupe  (re-test)</t>
  </si>
  <si>
    <t xml:space="preserve">9 Invisibles by Category of Transactions – US D  (re-test)</t>
  </si>
  <si>
    <t xml:space="preserve">7 Key Components of India's Balance of Payments  (re-test)</t>
  </si>
  <si>
    <t xml:space="preserve">8 Key Components of India's Balance of Payments  (re-test)</t>
  </si>
  <si>
    <t xml:space="preserve">37 Monthly Average Exchange Rate (155 Currencies  (re-test)</t>
  </si>
  <si>
    <t xml:space="preserve">36 Monthly Average Exchange Rates (EURO, GBP, JP  (re-test)</t>
  </si>
  <si>
    <t xml:space="preserve">1966</t>
  </si>
  <si>
    <t xml:space="preserve">40 NRI Deposits - Outstandings and Inflows(+) /  (re-test)</t>
  </si>
  <si>
    <t xml:space="preserve">28 Sale/ Purchase of U.S. Dollar by the RBI  (re-test)</t>
  </si>
  <si>
    <t xml:space="preserve">1995</t>
  </si>
  <si>
    <t xml:space="preserve">30 Turnover in Foreign Exchange Market  (re-test)</t>
  </si>
  <si>
    <t xml:space="preserve">1996-97</t>
  </si>
  <si>
    <t xml:space="preserve">ENERGY</t>
  </si>
  <si>
    <t xml:space="preserve">1 Energy Balance KToE | Supply  (re-test)</t>
  </si>
  <si>
    <t xml:space="preserve">1 Energy Balance KToE | Consumption  (re-test)</t>
  </si>
  <si>
    <t xml:space="preserve">2 Energy Balance PetaJoules | Supply  (re-test)</t>
  </si>
  <si>
    <t xml:space="preserve">2 Energy Balance PetaJoules | Consumption  (re-test)</t>
  </si>
  <si>
    <t xml:space="preserve">base 2004-05 | Monthly  (re-test)</t>
  </si>
  <si>
    <t xml:space="preserve">2005</t>
  </si>
  <si>
    <t xml:space="preserve">2017</t>
  </si>
  <si>
    <t xml:space="preserve">base 2004-05 | Annually  (re-test)</t>
  </si>
  <si>
    <t xml:space="preserve">2005-06</t>
  </si>
  <si>
    <t xml:space="preserve">2016-17</t>
  </si>
  <si>
    <t xml:space="preserve">base 2004-05  (re-test)</t>
  </si>
  <si>
    <t xml:space="preserve">base 1993-94 | Monthly  (re-test)</t>
  </si>
  <si>
    <t xml:space="preserve">1994</t>
  </si>
  <si>
    <t xml:space="preserve">base 1993-94 | Annually  (re-test)</t>
  </si>
  <si>
    <t xml:space="preserve">1994-95</t>
  </si>
  <si>
    <t xml:space="preserve">2010-11</t>
  </si>
  <si>
    <t xml:space="preserve">base 1993-94  (re-test)</t>
  </si>
  <si>
    <t xml:space="preserve">2010</t>
  </si>
  <si>
    <t xml:space="preserve">base 2010 | Group | Current  (re-test)</t>
  </si>
  <si>
    <t xml:space="preserve">Failed probes – why</t>
  </si>
  <si>
    <t xml:space="preserve">Failed probes</t>
  </si>
  <si>
    <t xml:space="preserve">Reason</t>
  </si>
  <si>
    <t xml:space="preserve">Back series (2022-23 base) not released yet; quarterly not published for some codes – genuine 'no data'</t>
  </si>
  <si>
    <t xml:space="preserve">PLFS / RBI / ENERGY</t>
  </si>
  <si>
    <t xml:space="preserve">0 (fixed)</t>
  </si>
  <si>
    <t xml:space="preserve">First run lacked required parameters; all 137 re-test probes passed (rows marked 're-test' above)</t>
  </si>
  <si>
    <t xml:space="preserve">NAS (GDP) indicator codes 1–22 – availability from your test</t>
  </si>
  <si>
    <t xml:space="preserve">Indicator names could not be listed (MoSPI's list endpoint returned HTTP 500). Code 1 = Gross Value Added (confirmed by your sample). Map the rest once the endpoint recovers.</t>
  </si>
  <si>
    <t xml:space="preserve">Code</t>
  </si>
  <si>
    <t xml:space="preserve">Name</t>
  </si>
  <si>
    <t xml:space="preserve">2022-23 base Annual</t>
  </si>
  <si>
    <t xml:space="preserve">2022-23 base Quarterly</t>
  </si>
  <si>
    <t xml:space="preserve">2011-12 base Annual</t>
  </si>
  <si>
    <t xml:space="preserve">2011-12 base Quarterly</t>
  </si>
  <si>
    <t xml:space="preserve">2022-23 Back series</t>
  </si>
  <si>
    <t xml:space="preserve">Gross Value Added</t>
  </si>
  <si>
    <t xml:space="preserve">2022-23 → 2025-26</t>
  </si>
  <si>
    <t xml:space="preserve">2022-23 → 2026-27</t>
  </si>
  <si>
    <t xml:space="preserve">2011-12 → 2025-26</t>
  </si>
  <si>
    <t xml:space="preserve">no data</t>
  </si>
  <si>
    <t xml:space="preserve">(to map)</t>
  </si>
  <si>
    <t xml:space="preserve">2022-23 → 2024-25</t>
  </si>
  <si>
    <t xml:space="preserve">2011-12 → 2023-24</t>
  </si>
  <si>
    <t xml:space="preserve">1999 → 2025-26</t>
  </si>
  <si>
    <t xml:space="preserve">2023-24 → 2025-26</t>
  </si>
  <si>
    <t xml:space="preserve">2023-24 → 2026-27</t>
  </si>
  <si>
    <t xml:space="preserve">2012-13 → 2025-26</t>
  </si>
  <si>
    <t xml:space="preserve">RBI statistics available through the MoSPI API (39 indicators, from your step-1 file)</t>
  </si>
  <si>
    <t xml:space="preserve">History confirmed by your 02b re-test (11-Sep-2026). Frequency inferred from the period fields the API lists.</t>
  </si>
  <si>
    <t xml:space="preserve">Indicator</t>
  </si>
  <si>
    <t xml:space="preserve">Currency</t>
  </si>
  <si>
    <t xml:space="preserve">Periods</t>
  </si>
  <si>
    <t xml:space="preserve">Status</t>
  </si>
  <si>
    <t xml:space="preserve">Direction of Foreign Trade - Rupees</t>
  </si>
  <si>
    <t xml:space="preserve">Exports of Select Commodities to Principal Countries - Rupees</t>
  </si>
  <si>
    <t xml:space="preserve">India's Overall Balance of Payments - Quarterly - US Dollars</t>
  </si>
  <si>
    <t xml:space="preserve">Quarterly</t>
  </si>
  <si>
    <t xml:space="preserve">India's Overall Balance of Payments - US Dollars</t>
  </si>
  <si>
    <t xml:space="preserve">India's Overall Balance of Payments – Rupees</t>
  </si>
  <si>
    <t xml:space="preserve">Key Components of India's Balance of Payments – Rupees</t>
  </si>
  <si>
    <t xml:space="preserve">Key Components of India's Balance of Payments - US Dollars</t>
  </si>
  <si>
    <t xml:space="preserve">Invisibles by Category of Transactions – US Dollars</t>
  </si>
  <si>
    <t xml:space="preserve">India’s Overall Balance of Payments – Quarterly – Rupees</t>
  </si>
  <si>
    <t xml:space="preserve">Direction of Foreign Trade - US Dollars</t>
  </si>
  <si>
    <t xml:space="preserve">India's Foreign Trade - US Dollars</t>
  </si>
  <si>
    <t xml:space="preserve">Monthly</t>
  </si>
  <si>
    <t xml:space="preserve">India's Foreign Trade – Rupees</t>
  </si>
  <si>
    <t xml:space="preserve">Invisibles by Category of Transactions – Rupees</t>
  </si>
  <si>
    <t xml:space="preserve">India's Foreign Trade - US Dollars - Annual</t>
  </si>
  <si>
    <t xml:space="preserve">India's Foreign Trade – Rupees-Annual</t>
  </si>
  <si>
    <t xml:space="preserve">Exports of Select Commodities to Principal Countries - US Dollars</t>
  </si>
  <si>
    <t xml:space="preserve">Balance of Payments - Indicators</t>
  </si>
  <si>
    <t xml:space="preserve">Broad Commodity Composition of India's Merchandise Trade - Oil and Non oil Exports and Imports - Rupees</t>
  </si>
  <si>
    <t xml:space="preserve">India's External Debt - US Dollars (End-March)</t>
  </si>
  <si>
    <t xml:space="preserve">India's External Debt - Rupees (End-March)</t>
  </si>
  <si>
    <t xml:space="preserve">External Debt of India - Quarterly</t>
  </si>
  <si>
    <t xml:space="preserve">Sale/ Purchase of U.S. Dollar by the RBI</t>
  </si>
  <si>
    <t xml:space="preserve">Forex Rates - Month-High / Month-Low</t>
  </si>
  <si>
    <t xml:space="preserve">Turnover in Foreign Exchange Market</t>
  </si>
  <si>
    <t xml:space="preserve">Exchange Rate of the Indian Rupee Vis-A-Vis the SDR, US Dollar, Pound Sterling, D.M./Euro and Japanese Yen (Financial Year - Annual Average and End-Year Rates)</t>
  </si>
  <si>
    <t xml:space="preserve">Exchange Rate of the Indian Rupee Vis-a-Vis the SDR, US Dollar, Pound Sterling, D.M./Euro and Japanese Yen (Calendar Year - Annual Average)</t>
  </si>
  <si>
    <t xml:space="preserve">Exchange Rate of the Indian Rupee vis-à-vis the SDR, US Dollar, Pound Sterling, Euro and Japanese Yen (Monthly Average and end-Month Rates)</t>
  </si>
  <si>
    <t xml:space="preserve">Forward Premia (Inter-Bank) (Monthly Average)</t>
  </si>
  <si>
    <t xml:space="preserve">Exchange Rate of the Indian Rupee vis-à-vis the SDR, US Dollar, Pound Sterling, Euro and Japanese Yen (High and Low During the Month)</t>
  </si>
  <si>
    <t xml:space="preserve">Monthly Average Exchange Rates (EURO, GBP, JPY, USD)</t>
  </si>
  <si>
    <t xml:space="preserve">Monthly Average Exchange Rate (155 Currencies)</t>
  </si>
  <si>
    <t xml:space="preserve">NRI Deposits - Outstandings and Inflows(+) / Outflows(-)</t>
  </si>
  <si>
    <t xml:space="preserve">Broad Commodity Composition of India’s Merchandise Trade - Oil and Non-Oil Exports and Imports - US Dollar</t>
  </si>
  <si>
    <t xml:space="preserve">EXPORTS OF MAJOR COMMODITIES - RUPEES</t>
  </si>
  <si>
    <t xml:space="preserve">EXPORTS OF MAJOR COMMODITIES - US Dollars</t>
  </si>
  <si>
    <t xml:space="preserve">Imports of Major Commodities - Rupees</t>
  </si>
  <si>
    <t xml:space="preserve">Imports of Major Commodities - US Dollars</t>
  </si>
  <si>
    <t xml:space="preserve"> Foreign Exchange Reserve Monthly</t>
  </si>
  <si>
    <t xml:space="preserve">Foreign Exchange Reserve Annual</t>
  </si>
  <si>
    <t xml:space="preserve">Yahoo Finance tickers to test (script 03_yfinance_explore.py)</t>
  </si>
  <si>
    <t xml:space="preserve">Unofficial API. Results from your script-03 run on 11-Sep-2026 (42 of 43 worked).</t>
  </si>
  <si>
    <t xml:space="preserve">Ticker</t>
  </si>
  <si>
    <t xml:space="preserve">Works? (Y/N)</t>
  </si>
  <si>
    <t xml:space="preserve">First date</t>
  </si>
  <si>
    <t xml:space="preserve">^NSEI</t>
  </si>
  <si>
    <t xml:space="preserve">Nifty 50</t>
  </si>
  <si>
    <t xml:space="preserve">Indian index</t>
  </si>
  <si>
    <t xml:space="preserve">Y</t>
  </si>
  <si>
    <t xml:space="preserve">^BSESN</t>
  </si>
  <si>
    <t xml:space="preserve">Sensex</t>
  </si>
  <si>
    <t xml:space="preserve">^NSEBANK</t>
  </si>
  <si>
    <t xml:space="preserve">Nifty Bank</t>
  </si>
  <si>
    <t xml:space="preserve">Indian sector</t>
  </si>
  <si>
    <t xml:space="preserve">^CNXIT</t>
  </si>
  <si>
    <t xml:space="preserve">Nifty IT</t>
  </si>
  <si>
    <t xml:space="preserve">^CNXAUTO</t>
  </si>
  <si>
    <t xml:space="preserve">Nifty Auto</t>
  </si>
  <si>
    <t xml:space="preserve">^CNXFMCG</t>
  </si>
  <si>
    <t xml:space="preserve">Nifty FMCG</t>
  </si>
  <si>
    <t xml:space="preserve">^CNXPHARMA</t>
  </si>
  <si>
    <t xml:space="preserve">Nifty Pharma</t>
  </si>
  <si>
    <t xml:space="preserve">^CNXMETAL</t>
  </si>
  <si>
    <t xml:space="preserve">Nifty Metal</t>
  </si>
  <si>
    <t xml:space="preserve">^CNXREALTY</t>
  </si>
  <si>
    <t xml:space="preserve">Nifty Realty</t>
  </si>
  <si>
    <t xml:space="preserve">^CNXENERGY</t>
  </si>
  <si>
    <t xml:space="preserve">Nifty Energy</t>
  </si>
  <si>
    <t xml:space="preserve">^CNXPSUBANK</t>
  </si>
  <si>
    <t xml:space="preserve">Nifty PSU Bank</t>
  </si>
  <si>
    <t xml:space="preserve">^CNXINFRA</t>
  </si>
  <si>
    <t xml:space="preserve">Nifty Infra</t>
  </si>
  <si>
    <t xml:space="preserve">^CNXMEDIA</t>
  </si>
  <si>
    <t xml:space="preserve">Nifty Media</t>
  </si>
  <si>
    <t xml:space="preserve">^NSEMDCP50</t>
  </si>
  <si>
    <t xml:space="preserve">Nifty Midcap 50</t>
  </si>
  <si>
    <t xml:space="preserve">Indian broad market</t>
  </si>
  <si>
    <t xml:space="preserve">^CNXSC</t>
  </si>
  <si>
    <t xml:space="preserve">Nifty Smallcap 100</t>
  </si>
  <si>
    <t xml:space="preserve">N</t>
  </si>
  <si>
    <t xml:space="preserve">Ticker no longer works – drop</t>
  </si>
  <si>
    <t xml:space="preserve">^CRSLDX</t>
  </si>
  <si>
    <t xml:space="preserve">Nifty 500</t>
  </si>
  <si>
    <t xml:space="preserve">^INDIAVIX</t>
  </si>
  <si>
    <t xml:space="preserve">Indian volatility</t>
  </si>
  <si>
    <t xml:space="preserve">NIFTYBEES.NS</t>
  </si>
  <si>
    <t xml:space="preserve">Nifty BeES ETF</t>
  </si>
  <si>
    <t xml:space="preserve">Indian ETF</t>
  </si>
  <si>
    <t xml:space="preserve">GOLDBEES.NS</t>
  </si>
  <si>
    <t xml:space="preserve">Gold BeES ETF</t>
  </si>
  <si>
    <t xml:space="preserve">RELIANCE.NS</t>
  </si>
  <si>
    <t xml:space="preserve">Reliance (NSE)</t>
  </si>
  <si>
    <t xml:space="preserve">Indian stock</t>
  </si>
  <si>
    <t xml:space="preserve">HDFCBANK.NS</t>
  </si>
  <si>
    <t xml:space="preserve">HDFC Bank (NSE)</t>
  </si>
  <si>
    <t xml:space="preserve">500325.BO</t>
  </si>
  <si>
    <t xml:space="preserve">Reliance (BSE)</t>
  </si>
  <si>
    <t xml:space="preserve">INR=X</t>
  </si>
  <si>
    <t xml:space="preserve">USD/INR</t>
  </si>
  <si>
    <t xml:space="preserve">EURINR=X</t>
  </si>
  <si>
    <t xml:space="preserve">EUR/INR</t>
  </si>
  <si>
    <t xml:space="preserve">GBPINR=X</t>
  </si>
  <si>
    <t xml:space="preserve">GBP/INR</t>
  </si>
  <si>
    <t xml:space="preserve">JPYINR=X</t>
  </si>
  <si>
    <t xml:space="preserve">JPY/INR</t>
  </si>
  <si>
    <t xml:space="preserve">CNYINR=X</t>
  </si>
  <si>
    <t xml:space="preserve">CNY/INR</t>
  </si>
  <si>
    <t xml:space="preserve">Only 1 row – drop</t>
  </si>
  <si>
    <t xml:space="preserve">AEDINR=X</t>
  </si>
  <si>
    <t xml:space="preserve">AED/INR</t>
  </si>
  <si>
    <t xml:space="preserve">GC=F</t>
  </si>
  <si>
    <t xml:space="preserve">Gold</t>
  </si>
  <si>
    <t xml:space="preserve">Commodity</t>
  </si>
  <si>
    <t xml:space="preserve">SI=F</t>
  </si>
  <si>
    <t xml:space="preserve">Silver</t>
  </si>
  <si>
    <t xml:space="preserve">CL=F</t>
  </si>
  <si>
    <t xml:space="preserve">WTI crude</t>
  </si>
  <si>
    <t xml:space="preserve">BZ=F</t>
  </si>
  <si>
    <t xml:space="preserve">Brent crude</t>
  </si>
  <si>
    <t xml:space="preserve">NG=F</t>
  </si>
  <si>
    <t xml:space="preserve">Natural gas</t>
  </si>
  <si>
    <t xml:space="preserve">HG=F</t>
  </si>
  <si>
    <t xml:space="preserve">Copper</t>
  </si>
  <si>
    <t xml:space="preserve">^GSPC</t>
  </si>
  <si>
    <t xml:space="preserve">S&amp;P 500</t>
  </si>
  <si>
    <t xml:space="preserve">Global index</t>
  </si>
  <si>
    <t xml:space="preserve">^IXIC</t>
  </si>
  <si>
    <t xml:space="preserve">Nasdaq</t>
  </si>
  <si>
    <t xml:space="preserve">^DJI</t>
  </si>
  <si>
    <t xml:space="preserve">Dow Jones</t>
  </si>
  <si>
    <t xml:space="preserve">^N225</t>
  </si>
  <si>
    <t xml:space="preserve">Nikkei 225</t>
  </si>
  <si>
    <t xml:space="preserve">^HSI</t>
  </si>
  <si>
    <t xml:space="preserve">Hang Seng</t>
  </si>
  <si>
    <t xml:space="preserve">^FTSE</t>
  </si>
  <si>
    <t xml:space="preserve">FTSE 100</t>
  </si>
  <si>
    <t xml:space="preserve">DX-Y.NYB</t>
  </si>
  <si>
    <t xml:space="preserve">US Dollar Index</t>
  </si>
  <si>
    <t xml:space="preserve">Global macro</t>
  </si>
  <si>
    <t xml:space="preserve">^TNX</t>
  </si>
  <si>
    <t xml:space="preserve">US 10Y yield</t>
  </si>
  <si>
    <t xml:space="preserve">^VIX</t>
  </si>
  <si>
    <t xml:space="preserve">US VIX</t>
  </si>
  <si>
    <t xml:space="preserve">Design principles that keep the tracker versatile and future-proof</t>
  </si>
  <si>
    <t xml:space="preserve">#</t>
  </si>
  <si>
    <t xml:space="preserve">Principle</t>
  </si>
  <si>
    <t xml:space="preserve">What it means in practice</t>
  </si>
  <si>
    <t xml:space="preserve">Why it matters</t>
  </si>
  <si>
    <t xml:space="preserve">Catalogue-driven</t>
  </si>
  <si>
    <t xml:space="preserve">Every series is a row in the database's series table (and this workbook). Adding an indicator = adding a row + small config, not rewriting code.</t>
  </si>
  <si>
    <t xml:space="preserve">The list will grow to thousands of series; code must not grow with it.</t>
  </si>
  <si>
    <t xml:space="preserve">One adapter per source</t>
  </si>
  <si>
    <t xml:space="preserve">MoSPI, RBI, FBIL, AMFI, Yahoo, data.gov.in… each has its own small module with the same interface: fetch → standardise → validate → save.</t>
  </si>
  <si>
    <t xml:space="preserve">A source changing its website breaks one module, never the whole pipeline.</t>
  </si>
  <si>
    <t xml:space="preserve">Primary + fallback source</t>
  </si>
  <si>
    <t xml:space="preserve">e.g. USD/INR: FBIL primary, Yahoo fallback; forex reserves: RBI weekly primary, MoSPI-RBI monthly fallback.</t>
  </si>
  <si>
    <t xml:space="preserve">Government sites go down (NAS list endpoint returned HTTP 500 during your test).</t>
  </si>
  <si>
    <t xml:space="preserve">Keep every vintage</t>
  </si>
  <si>
    <t xml:space="preserve">Never overwrite. Each value stores when it was fetched and its estimate stage (advance / provisional / revised).</t>
  </si>
  <si>
    <t xml:space="preserve">Lets you ask 'what did we know on date X' and study revisions (GDP, EPFO, IIP are revised often).</t>
  </si>
  <si>
    <t xml:space="preserve">Base-year aware</t>
  </si>
  <si>
    <t xml:space="preserve">Base year is part of a series' identity; old and new bases stored separately; linked series computed from official linking factors.</t>
  </si>
  <si>
    <t xml:space="preserve">All four headline series (GDP, CPI, IIP, WPI) were rebased in 2026 – it will happen again.</t>
  </si>
  <si>
    <t xml:space="preserve">Rich, standard metadata</t>
  </si>
  <si>
    <t xml:space="preserve">Unit and scale (₹ crore / lakh / US$ mn), price basis (current / constant), SA vs NSA, frequency, FY vs calendar year, classification (NIC, HS, COICOP).</t>
  </si>
  <si>
    <t xml:space="preserve">Stops silent mistakes like adding crore to million, or mixing FY and calendar quarters.</t>
  </si>
  <si>
    <t xml:space="preserve">Standard codes for places</t>
  </si>
  <si>
    <t xml:space="preserve">One master table of state/UT and district codes (LGD codes) that every source maps into.</t>
  </si>
  <si>
    <t xml:space="preserve">Makes state and district dashboards possible across all sources.</t>
  </si>
  <si>
    <t xml:space="preserve">Raw archive</t>
  </si>
  <si>
    <t xml:space="preserve">Save the raw file/response of every download (compressed) before parsing.</t>
  </si>
  <si>
    <t xml:space="preserve">If a parser bug is found later, you re-parse history instead of losing it.</t>
  </si>
  <si>
    <t xml:space="preserve">Release calendar + staleness alerts</t>
  </si>
  <si>
    <t xml:space="preserve">Store the expected release date for each series; alert when a series is late.</t>
  </si>
  <si>
    <t xml:space="preserve">A silently broken scraper is worse than a loud one.</t>
  </si>
  <si>
    <t xml:space="preserve">Quality checks on arrival</t>
  </si>
  <si>
    <t xml:space="preserve">Range checks, sudden-jump detection, duplicate periods, unit mismatch; cross-check sources (e.g. trade: Commerce vs RBI).</t>
  </si>
  <si>
    <t xml:space="preserve">Catch bad data before the team uses it.</t>
  </si>
  <si>
    <t xml:space="preserve">Pagination &amp; storage</t>
  </si>
  <si>
    <t xml:space="preserve">MoSPI returns 10 rows per page by default – always paginate. Very granular data (daily mandi rows, CPI item × state) goes to separate raw tables, partitioned by year if large. PostgreSQL on the VPS (~100 GB) has ample room; monitor disk monthly.</t>
  </si>
  <si>
    <t xml:space="preserve">Your tests showed both issues – design for them now.</t>
  </si>
  <si>
    <t xml:space="preserve">Private by default</t>
  </si>
  <si>
    <t xml:space="preserve">PostgreSQL never exposed to the internet (localhost + SSH tunnel); separate read/write roles; Google Sheets shared only with named team members; no public API.</t>
  </si>
  <si>
    <t xml:space="preserve">Internal-only use; also keeps licensed/unofficial data (PMI, Yahoo) inside the team.</t>
  </si>
  <si>
    <t xml:space="preserve">Many ways to consume</t>
  </si>
  <si>
    <t xml:space="preserve">Google Sheets tracker (see India_Econ_Tracker_Layout.xlsx), SQL views for analysts, CSV/Parquet export, later a dashboard (e.g. Metabase or Streamlit).</t>
  </si>
  <si>
    <t xml:space="preserve">Different team members work differently; the database stays the single source of truth.</t>
  </si>
  <si>
    <t xml:space="preserve">Backups off the server</t>
  </si>
  <si>
    <t xml:space="preserve">Nightly compressed database dump + raw archive copied off the VPS; restore tested monthly.</t>
  </si>
  <si>
    <t xml:space="preserve">A VPS has no managed backups – a disk failure must not lose history.</t>
  </si>
  <si>
    <t xml:space="preserve">Derived layer separate from raw</t>
  </si>
  <si>
    <t xml:space="preserve">Growth rates, SA series, ratios, composites are computed in views/jobs from raw data – never typed in.</t>
  </si>
  <si>
    <t xml:space="preserve">Recomputes automatically when raw data is revised.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</si>
</sst>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-mmm\-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ont>
        <name val="Arial"/>
        <charset val="1"/>
        <family val="0"/>
        <color rgb="FFA6A6A6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4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35.0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5" min="3" style="0" width="11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5" t="s">
        <v>20</v>
      </c>
    </row>
    <row r="4" customFormat="false" ht="15" hidden="false" customHeight="false" outlineLevel="0" collapsed="false">
      <c r="A4" s="6" t="s">
        <v>21</v>
      </c>
    </row>
    <row r="5" customFormat="false" ht="15" hidden="false" customHeight="false" outlineLevel="0" collapsed="false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</row>
    <row r="6" customFormat="false" ht="15" hidden="false" customHeight="false" outlineLevel="0" collapsed="false">
      <c r="A6" s="8" t="s">
        <v>27</v>
      </c>
      <c r="B6" s="8" t="n">
        <f aca="false">COUNTIF(CATALOGUE!$B$2:$B$207,A6)</f>
        <v>14</v>
      </c>
      <c r="C6" s="8" t="n">
        <f aca="false">COUNTIFS(CATALOGUE!$B$2:$B$207,A6,CATALOGUE!$O$2:$O$207,"Include")</f>
        <v>0</v>
      </c>
      <c r="D6" s="8" t="n">
        <f aca="false">COUNTIFS(CATALOGUE!$B$2:$B$207,A6,CATALOGUE!$O$2:$O$207,"Later")</f>
        <v>0</v>
      </c>
      <c r="E6" s="8" t="n">
        <f aca="false">COUNTIFS(CATALOGUE!$B$2:$B$207,A6,CATALOGUE!$O$2:$O$207,"Skip")</f>
        <v>0</v>
      </c>
    </row>
    <row r="7" customFormat="false" ht="15" hidden="false" customHeight="false" outlineLevel="0" collapsed="false">
      <c r="A7" s="8" t="s">
        <v>28</v>
      </c>
      <c r="B7" s="8" t="n">
        <f aca="false">COUNTIF(CATALOGUE!$B$2:$B$207,A7)</f>
        <v>22</v>
      </c>
      <c r="C7" s="8" t="n">
        <f aca="false">COUNTIFS(CATALOGUE!$B$2:$B$207,A7,CATALOGUE!$O$2:$O$207,"Include")</f>
        <v>0</v>
      </c>
      <c r="D7" s="8" t="n">
        <f aca="false">COUNTIFS(CATALOGUE!$B$2:$B$207,A7,CATALOGUE!$O$2:$O$207,"Later")</f>
        <v>0</v>
      </c>
      <c r="E7" s="8" t="n">
        <f aca="false">COUNTIFS(CATALOGUE!$B$2:$B$207,A7,CATALOGUE!$O$2:$O$207,"Skip")</f>
        <v>0</v>
      </c>
    </row>
    <row r="8" customFormat="false" ht="15" hidden="false" customHeight="false" outlineLevel="0" collapsed="false">
      <c r="A8" s="8" t="s">
        <v>29</v>
      </c>
      <c r="B8" s="8" t="n">
        <f aca="false">COUNTIF(CATALOGUE!$B$2:$B$207,A8)</f>
        <v>17</v>
      </c>
      <c r="C8" s="8" t="n">
        <f aca="false">COUNTIFS(CATALOGUE!$B$2:$B$207,A8,CATALOGUE!$O$2:$O$207,"Include")</f>
        <v>0</v>
      </c>
      <c r="D8" s="8" t="n">
        <f aca="false">COUNTIFS(CATALOGUE!$B$2:$B$207,A8,CATALOGUE!$O$2:$O$207,"Later")</f>
        <v>0</v>
      </c>
      <c r="E8" s="8" t="n">
        <f aca="false">COUNTIFS(CATALOGUE!$B$2:$B$207,A8,CATALOGUE!$O$2:$O$207,"Skip")</f>
        <v>0</v>
      </c>
    </row>
    <row r="9" customFormat="false" ht="15" hidden="false" customHeight="false" outlineLevel="0" collapsed="false">
      <c r="A9" s="8" t="s">
        <v>30</v>
      </c>
      <c r="B9" s="8" t="n">
        <f aca="false">COUNTIF(CATALOGUE!$B$2:$B$207,A9)</f>
        <v>11</v>
      </c>
      <c r="C9" s="8" t="n">
        <f aca="false">COUNTIFS(CATALOGUE!$B$2:$B$207,A9,CATALOGUE!$O$2:$O$207,"Include")</f>
        <v>0</v>
      </c>
      <c r="D9" s="8" t="n">
        <f aca="false">COUNTIFS(CATALOGUE!$B$2:$B$207,A9,CATALOGUE!$O$2:$O$207,"Later")</f>
        <v>0</v>
      </c>
      <c r="E9" s="8" t="n">
        <f aca="false">COUNTIFS(CATALOGUE!$B$2:$B$207,A9,CATALOGUE!$O$2:$O$207,"Skip")</f>
        <v>0</v>
      </c>
    </row>
    <row r="10" customFormat="false" ht="15" hidden="false" customHeight="false" outlineLevel="0" collapsed="false">
      <c r="A10" s="8" t="s">
        <v>31</v>
      </c>
      <c r="B10" s="8" t="n">
        <f aca="false">COUNTIF(CATALOGUE!$B$2:$B$207,A10)</f>
        <v>10</v>
      </c>
      <c r="C10" s="8" t="n">
        <f aca="false">COUNTIFS(CATALOGUE!$B$2:$B$207,A10,CATALOGUE!$O$2:$O$207,"Include")</f>
        <v>0</v>
      </c>
      <c r="D10" s="8" t="n">
        <f aca="false">COUNTIFS(CATALOGUE!$B$2:$B$207,A10,CATALOGUE!$O$2:$O$207,"Later")</f>
        <v>0</v>
      </c>
      <c r="E10" s="8" t="n">
        <f aca="false">COUNTIFS(CATALOGUE!$B$2:$B$207,A10,CATALOGUE!$O$2:$O$207,"Skip")</f>
        <v>0</v>
      </c>
    </row>
    <row r="11" customFormat="false" ht="15" hidden="false" customHeight="false" outlineLevel="0" collapsed="false">
      <c r="A11" s="8" t="s">
        <v>32</v>
      </c>
      <c r="B11" s="8" t="n">
        <f aca="false">COUNTIF(CATALOGUE!$B$2:$B$207,A11)</f>
        <v>16</v>
      </c>
      <c r="C11" s="8" t="n">
        <f aca="false">COUNTIFS(CATALOGUE!$B$2:$B$207,A11,CATALOGUE!$O$2:$O$207,"Include")</f>
        <v>0</v>
      </c>
      <c r="D11" s="8" t="n">
        <f aca="false">COUNTIFS(CATALOGUE!$B$2:$B$207,A11,CATALOGUE!$O$2:$O$207,"Later")</f>
        <v>0</v>
      </c>
      <c r="E11" s="8" t="n">
        <f aca="false">COUNTIFS(CATALOGUE!$B$2:$B$207,A11,CATALOGUE!$O$2:$O$207,"Skip")</f>
        <v>0</v>
      </c>
    </row>
    <row r="12" customFormat="false" ht="15" hidden="false" customHeight="false" outlineLevel="0" collapsed="false">
      <c r="A12" s="8" t="s">
        <v>33</v>
      </c>
      <c r="B12" s="8" t="n">
        <f aca="false">COUNTIF(CATALOGUE!$B$2:$B$207,A12)</f>
        <v>20</v>
      </c>
      <c r="C12" s="8" t="n">
        <f aca="false">COUNTIFS(CATALOGUE!$B$2:$B$207,A12,CATALOGUE!$O$2:$O$207,"Include")</f>
        <v>0</v>
      </c>
      <c r="D12" s="8" t="n">
        <f aca="false">COUNTIFS(CATALOGUE!$B$2:$B$207,A12,CATALOGUE!$O$2:$O$207,"Later")</f>
        <v>0</v>
      </c>
      <c r="E12" s="8" t="n">
        <f aca="false">COUNTIFS(CATALOGUE!$B$2:$B$207,A12,CATALOGUE!$O$2:$O$207,"Skip")</f>
        <v>0</v>
      </c>
    </row>
    <row r="13" customFormat="false" ht="15" hidden="false" customHeight="false" outlineLevel="0" collapsed="false">
      <c r="A13" s="8" t="s">
        <v>34</v>
      </c>
      <c r="B13" s="8" t="n">
        <f aca="false">COUNTIF(CATALOGUE!$B$2:$B$207,A13)</f>
        <v>19</v>
      </c>
      <c r="C13" s="8" t="n">
        <f aca="false">COUNTIFS(CATALOGUE!$B$2:$B$207,A13,CATALOGUE!$O$2:$O$207,"Include")</f>
        <v>0</v>
      </c>
      <c r="D13" s="8" t="n">
        <f aca="false">COUNTIFS(CATALOGUE!$B$2:$B$207,A13,CATALOGUE!$O$2:$O$207,"Later")</f>
        <v>0</v>
      </c>
      <c r="E13" s="8" t="n">
        <f aca="false">COUNTIFS(CATALOGUE!$B$2:$B$207,A13,CATALOGUE!$O$2:$O$207,"Skip")</f>
        <v>0</v>
      </c>
    </row>
    <row r="14" customFormat="false" ht="15" hidden="false" customHeight="false" outlineLevel="0" collapsed="false">
      <c r="A14" s="8" t="s">
        <v>35</v>
      </c>
      <c r="B14" s="8" t="n">
        <f aca="false">COUNTIF(CATALOGUE!$B$2:$B$207,A14)</f>
        <v>9</v>
      </c>
      <c r="C14" s="8" t="n">
        <f aca="false">COUNTIFS(CATALOGUE!$B$2:$B$207,A14,CATALOGUE!$O$2:$O$207,"Include")</f>
        <v>0</v>
      </c>
      <c r="D14" s="8" t="n">
        <f aca="false">COUNTIFS(CATALOGUE!$B$2:$B$207,A14,CATALOGUE!$O$2:$O$207,"Later")</f>
        <v>0</v>
      </c>
      <c r="E14" s="8" t="n">
        <f aca="false">COUNTIFS(CATALOGUE!$B$2:$B$207,A14,CATALOGUE!$O$2:$O$207,"Skip")</f>
        <v>0</v>
      </c>
    </row>
    <row r="15" customFormat="false" ht="15" hidden="false" customHeight="false" outlineLevel="0" collapsed="false">
      <c r="A15" s="8" t="s">
        <v>36</v>
      </c>
      <c r="B15" s="8" t="n">
        <f aca="false">COUNTIF(CATALOGUE!$B$2:$B$207,A15)</f>
        <v>8</v>
      </c>
      <c r="C15" s="8" t="n">
        <f aca="false">COUNTIFS(CATALOGUE!$B$2:$B$207,A15,CATALOGUE!$O$2:$O$207,"Include")</f>
        <v>0</v>
      </c>
      <c r="D15" s="8" t="n">
        <f aca="false">COUNTIFS(CATALOGUE!$B$2:$B$207,A15,CATALOGUE!$O$2:$O$207,"Later")</f>
        <v>0</v>
      </c>
      <c r="E15" s="8" t="n">
        <f aca="false">COUNTIFS(CATALOGUE!$B$2:$B$207,A15,CATALOGUE!$O$2:$O$207,"Skip")</f>
        <v>0</v>
      </c>
    </row>
    <row r="16" customFormat="false" ht="15" hidden="false" customHeight="false" outlineLevel="0" collapsed="false">
      <c r="A16" s="8" t="s">
        <v>37</v>
      </c>
      <c r="B16" s="8" t="n">
        <f aca="false">COUNTIF(CATALOGUE!$B$2:$B$207,A16)</f>
        <v>9</v>
      </c>
      <c r="C16" s="8" t="n">
        <f aca="false">COUNTIFS(CATALOGUE!$B$2:$B$207,A16,CATALOGUE!$O$2:$O$207,"Include")</f>
        <v>0</v>
      </c>
      <c r="D16" s="8" t="n">
        <f aca="false">COUNTIFS(CATALOGUE!$B$2:$B$207,A16,CATALOGUE!$O$2:$O$207,"Later")</f>
        <v>0</v>
      </c>
      <c r="E16" s="8" t="n">
        <f aca="false">COUNTIFS(CATALOGUE!$B$2:$B$207,A16,CATALOGUE!$O$2:$O$207,"Skip")</f>
        <v>0</v>
      </c>
    </row>
    <row r="17" customFormat="false" ht="15" hidden="false" customHeight="false" outlineLevel="0" collapsed="false">
      <c r="A17" s="8" t="s">
        <v>38</v>
      </c>
      <c r="B17" s="8" t="n">
        <f aca="false">COUNTIF(CATALOGUE!$B$2:$B$207,A17)</f>
        <v>4</v>
      </c>
      <c r="C17" s="8" t="n">
        <f aca="false">COUNTIFS(CATALOGUE!$B$2:$B$207,A17,CATALOGUE!$O$2:$O$207,"Include")</f>
        <v>0</v>
      </c>
      <c r="D17" s="8" t="n">
        <f aca="false">COUNTIFS(CATALOGUE!$B$2:$B$207,A17,CATALOGUE!$O$2:$O$207,"Later")</f>
        <v>0</v>
      </c>
      <c r="E17" s="8" t="n">
        <f aca="false">COUNTIFS(CATALOGUE!$B$2:$B$207,A17,CATALOGUE!$O$2:$O$207,"Skip")</f>
        <v>0</v>
      </c>
    </row>
    <row r="18" customFormat="false" ht="15" hidden="false" customHeight="false" outlineLevel="0" collapsed="false">
      <c r="A18" s="8" t="s">
        <v>39</v>
      </c>
      <c r="B18" s="8" t="n">
        <f aca="false">COUNTIF(CATALOGUE!$B$2:$B$207,A18)</f>
        <v>8</v>
      </c>
      <c r="C18" s="8" t="n">
        <f aca="false">COUNTIFS(CATALOGUE!$B$2:$B$207,A18,CATALOGUE!$O$2:$O$207,"Include")</f>
        <v>0</v>
      </c>
      <c r="D18" s="8" t="n">
        <f aca="false">COUNTIFS(CATALOGUE!$B$2:$B$207,A18,CATALOGUE!$O$2:$O$207,"Later")</f>
        <v>0</v>
      </c>
      <c r="E18" s="8" t="n">
        <f aca="false">COUNTIFS(CATALOGUE!$B$2:$B$207,A18,CATALOGUE!$O$2:$O$207,"Skip")</f>
        <v>0</v>
      </c>
    </row>
    <row r="19" customFormat="false" ht="15" hidden="false" customHeight="false" outlineLevel="0" collapsed="false">
      <c r="A19" s="8" t="s">
        <v>40</v>
      </c>
      <c r="B19" s="8" t="n">
        <f aca="false">COUNTIF(CATALOGUE!$B$2:$B$207,A19)</f>
        <v>12</v>
      </c>
      <c r="C19" s="8" t="n">
        <f aca="false">COUNTIFS(CATALOGUE!$B$2:$B$207,A19,CATALOGUE!$O$2:$O$207,"Include")</f>
        <v>0</v>
      </c>
      <c r="D19" s="8" t="n">
        <f aca="false">COUNTIFS(CATALOGUE!$B$2:$B$207,A19,CATALOGUE!$O$2:$O$207,"Later")</f>
        <v>0</v>
      </c>
      <c r="E19" s="8" t="n">
        <f aca="false">COUNTIFS(CATALOGUE!$B$2:$B$207,A19,CATALOGUE!$O$2:$O$207,"Skip")</f>
        <v>0</v>
      </c>
    </row>
    <row r="20" customFormat="false" ht="15" hidden="false" customHeight="false" outlineLevel="0" collapsed="false">
      <c r="A20" s="8" t="s">
        <v>41</v>
      </c>
      <c r="B20" s="8" t="n">
        <f aca="false">COUNTIF(CATALOGUE!$B$2:$B$207,A20)</f>
        <v>3</v>
      </c>
      <c r="C20" s="8" t="n">
        <f aca="false">COUNTIFS(CATALOGUE!$B$2:$B$207,A20,CATALOGUE!$O$2:$O$207,"Include")</f>
        <v>0</v>
      </c>
      <c r="D20" s="8" t="n">
        <f aca="false">COUNTIFS(CATALOGUE!$B$2:$B$207,A20,CATALOGUE!$O$2:$O$207,"Later")</f>
        <v>0</v>
      </c>
      <c r="E20" s="8" t="n">
        <f aca="false">COUNTIFS(CATALOGUE!$B$2:$B$207,A20,CATALOGUE!$O$2:$O$207,"Skip")</f>
        <v>0</v>
      </c>
    </row>
    <row r="21" customFormat="false" ht="15" hidden="false" customHeight="false" outlineLevel="0" collapsed="false">
      <c r="A21" s="8" t="s">
        <v>42</v>
      </c>
      <c r="B21" s="8" t="n">
        <f aca="false">COUNTIF(CATALOGUE!$B$2:$B$207,A21)</f>
        <v>10</v>
      </c>
      <c r="C21" s="8" t="n">
        <f aca="false">COUNTIFS(CATALOGUE!$B$2:$B$207,A21,CATALOGUE!$O$2:$O$207,"Include")</f>
        <v>0</v>
      </c>
      <c r="D21" s="8" t="n">
        <f aca="false">COUNTIFS(CATALOGUE!$B$2:$B$207,A21,CATALOGUE!$O$2:$O$207,"Later")</f>
        <v>0</v>
      </c>
      <c r="E21" s="8" t="n">
        <f aca="false">COUNTIFS(CATALOGUE!$B$2:$B$207,A21,CATALOGUE!$O$2:$O$207,"Skip")</f>
        <v>0</v>
      </c>
    </row>
    <row r="22" customFormat="false" ht="15" hidden="false" customHeight="false" outlineLevel="0" collapsed="false">
      <c r="A22" s="8" t="s">
        <v>43</v>
      </c>
      <c r="B22" s="8" t="n">
        <f aca="false">COUNTIF(CATALOGUE!$B$2:$B$207,A22)</f>
        <v>14</v>
      </c>
      <c r="C22" s="8" t="n">
        <f aca="false">COUNTIFS(CATALOGUE!$B$2:$B$207,A22,CATALOGUE!$O$2:$O$207,"Include")</f>
        <v>0</v>
      </c>
      <c r="D22" s="8" t="n">
        <f aca="false">COUNTIFS(CATALOGUE!$B$2:$B$207,A22,CATALOGUE!$O$2:$O$207,"Later")</f>
        <v>0</v>
      </c>
      <c r="E22" s="8" t="n">
        <f aca="false">COUNTIFS(CATALOGUE!$B$2:$B$207,A22,CATALOGUE!$O$2:$O$207,"Skip")</f>
        <v>0</v>
      </c>
    </row>
    <row r="23" customFormat="false" ht="15" hidden="false" customHeight="false" outlineLevel="0" collapsed="false">
      <c r="A23" s="6" t="s">
        <v>44</v>
      </c>
      <c r="B23" s="9" t="n">
        <f aca="false">SUM(B6:B22)</f>
        <v>206</v>
      </c>
      <c r="C23" s="9" t="n">
        <f aca="false">SUM(C6:C22)</f>
        <v>0</v>
      </c>
      <c r="D23" s="9" t="n">
        <f aca="false">SUM(D6:D22)</f>
        <v>0</v>
      </c>
      <c r="E23" s="9" t="n">
        <f aca="false">SUM(E6:E22)</f>
        <v>0</v>
      </c>
    </row>
    <row r="25" customFormat="false" ht="15" hidden="false" customHeight="false" outlineLevel="0" collapsed="false">
      <c r="A25" s="6" t="s">
        <v>45</v>
      </c>
    </row>
    <row r="26" customFormat="false" ht="15" hidden="false" customHeight="false" outlineLevel="0" collapsed="false">
      <c r="A26" s="7" t="s">
        <v>22</v>
      </c>
      <c r="B26" s="7" t="s">
        <v>23</v>
      </c>
      <c r="C26" s="7" t="s">
        <v>24</v>
      </c>
      <c r="D26" s="7" t="s">
        <v>25</v>
      </c>
      <c r="E26" s="7" t="s">
        <v>26</v>
      </c>
    </row>
    <row r="27" customFormat="false" ht="15" hidden="false" customHeight="false" outlineLevel="0" collapsed="false">
      <c r="A27" s="8" t="s">
        <v>46</v>
      </c>
      <c r="B27" s="8" t="n">
        <f aca="false">COUNTIF(CATALOGUE!$L$2:$L$207,A27)</f>
        <v>74</v>
      </c>
      <c r="C27" s="8" t="n">
        <f aca="false">COUNTIFS(CATALOGUE!$L$2:$L$207,A27,CATALOGUE!$O$2:$O$207,"Include")</f>
        <v>0</v>
      </c>
      <c r="D27" s="8" t="n">
        <f aca="false">COUNTIFS(CATALOGUE!$L$2:$L$207,A27,CATALOGUE!$O$2:$O$207,"Later")</f>
        <v>0</v>
      </c>
      <c r="E27" s="8" t="n">
        <f aca="false">COUNTIFS(CATALOGUE!$L$2:$L$207,A27,CATALOGUE!$O$2:$O$207,"Skip")</f>
        <v>0</v>
      </c>
    </row>
    <row r="28" customFormat="false" ht="15" hidden="false" customHeight="false" outlineLevel="0" collapsed="false">
      <c r="A28" s="8" t="s">
        <v>47</v>
      </c>
      <c r="B28" s="8" t="n">
        <f aca="false">COUNTIF(CATALOGUE!$L$2:$L$207,A28)</f>
        <v>81</v>
      </c>
      <c r="C28" s="8" t="n">
        <f aca="false">COUNTIFS(CATALOGUE!$L$2:$L$207,A28,CATALOGUE!$O$2:$O$207,"Include")</f>
        <v>0</v>
      </c>
      <c r="D28" s="8" t="n">
        <f aca="false">COUNTIFS(CATALOGUE!$L$2:$L$207,A28,CATALOGUE!$O$2:$O$207,"Later")</f>
        <v>0</v>
      </c>
      <c r="E28" s="8" t="n">
        <f aca="false">COUNTIFS(CATALOGUE!$L$2:$L$207,A28,CATALOGUE!$O$2:$O$207,"Skip")</f>
        <v>0</v>
      </c>
    </row>
    <row r="29" customFormat="false" ht="15" hidden="false" customHeight="false" outlineLevel="0" collapsed="false">
      <c r="A29" s="8" t="s">
        <v>48</v>
      </c>
      <c r="B29" s="8" t="n">
        <f aca="false">COUNTIF(CATALOGUE!$L$2:$L$207,A29)</f>
        <v>51</v>
      </c>
      <c r="C29" s="8" t="n">
        <f aca="false">COUNTIFS(CATALOGUE!$L$2:$L$207,A29,CATALOGUE!$O$2:$O$207,"Include")</f>
        <v>0</v>
      </c>
      <c r="D29" s="8" t="n">
        <f aca="false">COUNTIFS(CATALOGUE!$L$2:$L$207,A29,CATALOGUE!$O$2:$O$207,"Later")</f>
        <v>0</v>
      </c>
      <c r="E29" s="8" t="n">
        <f aca="false">COUNTIFS(CATALOGUE!$L$2:$L$207,A29,CATALOGUE!$O$2:$O$207,"Skip")</f>
        <v>0</v>
      </c>
    </row>
    <row r="30" customFormat="false" ht="15" hidden="false" customHeight="false" outlineLevel="0" collapsed="false">
      <c r="A30" s="6" t="s">
        <v>44</v>
      </c>
      <c r="B30" s="9" t="n">
        <f aca="false">SUM(B27:B29)</f>
        <v>206</v>
      </c>
      <c r="C30" s="9" t="n">
        <f aca="false">SUM(C27:C29)</f>
        <v>0</v>
      </c>
      <c r="D30" s="9" t="n">
        <f aca="false">SUM(D27:D29)</f>
        <v>0</v>
      </c>
      <c r="E30" s="9" t="n">
        <f aca="false">SUM(E27:E29)</f>
        <v>0</v>
      </c>
    </row>
    <row r="32" customFormat="false" ht="15" hidden="false" customHeight="false" outlineLevel="0" collapsed="false">
      <c r="A32" s="6" t="s">
        <v>49</v>
      </c>
    </row>
    <row r="33" customFormat="false" ht="15" hidden="false" customHeight="false" outlineLevel="0" collapsed="false">
      <c r="A33" s="7" t="s">
        <v>22</v>
      </c>
      <c r="B33" s="7" t="s">
        <v>23</v>
      </c>
      <c r="C33" s="7" t="s">
        <v>24</v>
      </c>
      <c r="D33" s="7" t="s">
        <v>25</v>
      </c>
      <c r="E33" s="7" t="s">
        <v>26</v>
      </c>
    </row>
    <row r="34" customFormat="false" ht="15" hidden="false" customHeight="false" outlineLevel="0" collapsed="false">
      <c r="A34" s="8" t="s">
        <v>50</v>
      </c>
      <c r="B34" s="8" t="n">
        <f aca="false">COUNTIF(CATALOGUE!$H$2:$H$207,A34)</f>
        <v>3</v>
      </c>
      <c r="C34" s="8" t="n">
        <f aca="false">COUNTIFS(CATALOGUE!$H$2:$H$207,A34,CATALOGUE!$O$2:$O$207,"Include")</f>
        <v>0</v>
      </c>
      <c r="D34" s="8" t="n">
        <f aca="false">COUNTIFS(CATALOGUE!$H$2:$H$207,A34,CATALOGUE!$O$2:$O$207,"Later")</f>
        <v>0</v>
      </c>
      <c r="E34" s="8" t="n">
        <f aca="false">COUNTIFS(CATALOGUE!$H$2:$H$207,A34,CATALOGUE!$O$2:$O$207,"Skip")</f>
        <v>0</v>
      </c>
    </row>
    <row r="35" customFormat="false" ht="15" hidden="false" customHeight="false" outlineLevel="0" collapsed="false">
      <c r="A35" s="8" t="s">
        <v>51</v>
      </c>
      <c r="B35" s="8" t="n">
        <f aca="false">COUNTIF(CATALOGUE!$H$2:$H$207,A35)</f>
        <v>6</v>
      </c>
      <c r="C35" s="8" t="n">
        <f aca="false">COUNTIFS(CATALOGUE!$H$2:$H$207,A35,CATALOGUE!$O$2:$O$207,"Include")</f>
        <v>0</v>
      </c>
      <c r="D35" s="8" t="n">
        <f aca="false">COUNTIFS(CATALOGUE!$H$2:$H$207,A35,CATALOGUE!$O$2:$O$207,"Later")</f>
        <v>0</v>
      </c>
      <c r="E35" s="8" t="n">
        <f aca="false">COUNTIFS(CATALOGUE!$H$2:$H$207,A35,CATALOGUE!$O$2:$O$207,"Skip")</f>
        <v>0</v>
      </c>
    </row>
    <row r="36" customFormat="false" ht="15" hidden="false" customHeight="false" outlineLevel="0" collapsed="false">
      <c r="A36" s="8" t="s">
        <v>52</v>
      </c>
      <c r="B36" s="8" t="n">
        <f aca="false">COUNTIF(CATALOGUE!$H$2:$H$207,A36)</f>
        <v>67</v>
      </c>
      <c r="C36" s="8" t="n">
        <f aca="false">COUNTIFS(CATALOGUE!$H$2:$H$207,A36,CATALOGUE!$O$2:$O$207,"Include")</f>
        <v>0</v>
      </c>
      <c r="D36" s="8" t="n">
        <f aca="false">COUNTIFS(CATALOGUE!$H$2:$H$207,A36,CATALOGUE!$O$2:$O$207,"Later")</f>
        <v>0</v>
      </c>
      <c r="E36" s="8" t="n">
        <f aca="false">COUNTIFS(CATALOGUE!$H$2:$H$207,A36,CATALOGUE!$O$2:$O$207,"Skip")</f>
        <v>0</v>
      </c>
    </row>
    <row r="37" customFormat="false" ht="15" hidden="false" customHeight="false" outlineLevel="0" collapsed="false">
      <c r="A37" s="8" t="s">
        <v>53</v>
      </c>
      <c r="B37" s="8" t="n">
        <f aca="false">COUNTIF(CATALOGUE!$H$2:$H$207,A37)</f>
        <v>7</v>
      </c>
      <c r="C37" s="8" t="n">
        <f aca="false">COUNTIFS(CATALOGUE!$H$2:$H$207,A37,CATALOGUE!$O$2:$O$207,"Include")</f>
        <v>0</v>
      </c>
      <c r="D37" s="8" t="n">
        <f aca="false">COUNTIFS(CATALOGUE!$H$2:$H$207,A37,CATALOGUE!$O$2:$O$207,"Later")</f>
        <v>0</v>
      </c>
      <c r="E37" s="8" t="n">
        <f aca="false">COUNTIFS(CATALOGUE!$H$2:$H$207,A37,CATALOGUE!$O$2:$O$207,"Skip")</f>
        <v>0</v>
      </c>
    </row>
    <row r="38" customFormat="false" ht="15" hidden="false" customHeight="false" outlineLevel="0" collapsed="false">
      <c r="A38" s="8" t="s">
        <v>54</v>
      </c>
      <c r="B38" s="8" t="n">
        <f aca="false">COUNTIF(CATALOGUE!$H$2:$H$207,A38)</f>
        <v>19</v>
      </c>
      <c r="C38" s="8" t="n">
        <f aca="false">COUNTIFS(CATALOGUE!$H$2:$H$207,A38,CATALOGUE!$O$2:$O$207,"Include")</f>
        <v>0</v>
      </c>
      <c r="D38" s="8" t="n">
        <f aca="false">COUNTIFS(CATALOGUE!$H$2:$H$207,A38,CATALOGUE!$O$2:$O$207,"Later")</f>
        <v>0</v>
      </c>
      <c r="E38" s="8" t="n">
        <f aca="false">COUNTIFS(CATALOGUE!$H$2:$H$207,A38,CATALOGUE!$O$2:$O$207,"Skip")</f>
        <v>0</v>
      </c>
    </row>
    <row r="39" customFormat="false" ht="15" hidden="false" customHeight="false" outlineLevel="0" collapsed="false">
      <c r="A39" s="8" t="s">
        <v>55</v>
      </c>
      <c r="B39" s="8" t="n">
        <f aca="false">COUNTIF(CATALOGUE!$H$2:$H$207,A39)</f>
        <v>54</v>
      </c>
      <c r="C39" s="8" t="n">
        <f aca="false">COUNTIFS(CATALOGUE!$H$2:$H$207,A39,CATALOGUE!$O$2:$O$207,"Include")</f>
        <v>0</v>
      </c>
      <c r="D39" s="8" t="n">
        <f aca="false">COUNTIFS(CATALOGUE!$H$2:$H$207,A39,CATALOGUE!$O$2:$O$207,"Later")</f>
        <v>0</v>
      </c>
      <c r="E39" s="8" t="n">
        <f aca="false">COUNTIFS(CATALOGUE!$H$2:$H$207,A39,CATALOGUE!$O$2:$O$207,"Skip")</f>
        <v>0</v>
      </c>
    </row>
    <row r="40" customFormat="false" ht="15" hidden="false" customHeight="false" outlineLevel="0" collapsed="false">
      <c r="A40" s="8" t="s">
        <v>56</v>
      </c>
      <c r="B40" s="8" t="n">
        <f aca="false">COUNTIF(CATALOGUE!$H$2:$H$207,A40)</f>
        <v>2</v>
      </c>
      <c r="C40" s="8" t="n">
        <f aca="false">COUNTIFS(CATALOGUE!$H$2:$H$207,A40,CATALOGUE!$O$2:$O$207,"Include")</f>
        <v>0</v>
      </c>
      <c r="D40" s="8" t="n">
        <f aca="false">COUNTIFS(CATALOGUE!$H$2:$H$207,A40,CATALOGUE!$O$2:$O$207,"Later")</f>
        <v>0</v>
      </c>
      <c r="E40" s="8" t="n">
        <f aca="false">COUNTIFS(CATALOGUE!$H$2:$H$207,A40,CATALOGUE!$O$2:$O$207,"Skip")</f>
        <v>0</v>
      </c>
    </row>
    <row r="41" customFormat="false" ht="15" hidden="false" customHeight="false" outlineLevel="0" collapsed="false">
      <c r="A41" s="8" t="s">
        <v>57</v>
      </c>
      <c r="B41" s="8" t="n">
        <f aca="false">COUNTIF(CATALOGUE!$H$2:$H$207,A41)</f>
        <v>22</v>
      </c>
      <c r="C41" s="8" t="n">
        <f aca="false">COUNTIFS(CATALOGUE!$H$2:$H$207,A41,CATALOGUE!$O$2:$O$207,"Include")</f>
        <v>0</v>
      </c>
      <c r="D41" s="8" t="n">
        <f aca="false">COUNTIFS(CATALOGUE!$H$2:$H$207,A41,CATALOGUE!$O$2:$O$207,"Later")</f>
        <v>0</v>
      </c>
      <c r="E41" s="8" t="n">
        <f aca="false">COUNTIFS(CATALOGUE!$H$2:$H$207,A41,CATALOGUE!$O$2:$O$207,"Skip")</f>
        <v>0</v>
      </c>
    </row>
    <row r="42" customFormat="false" ht="15" hidden="false" customHeight="false" outlineLevel="0" collapsed="false">
      <c r="A42" s="8" t="s">
        <v>58</v>
      </c>
      <c r="B42" s="8" t="n">
        <f aca="false">COUNTIF(CATALOGUE!$H$2:$H$207,A42)</f>
        <v>2</v>
      </c>
      <c r="C42" s="8" t="n">
        <f aca="false">COUNTIFS(CATALOGUE!$H$2:$H$207,A42,CATALOGUE!$O$2:$O$207,"Include")</f>
        <v>0</v>
      </c>
      <c r="D42" s="8" t="n">
        <f aca="false">COUNTIFS(CATALOGUE!$H$2:$H$207,A42,CATALOGUE!$O$2:$O$207,"Later")</f>
        <v>0</v>
      </c>
      <c r="E42" s="8" t="n">
        <f aca="false">COUNTIFS(CATALOGUE!$H$2:$H$207,A42,CATALOGUE!$O$2:$O$207,"Skip")</f>
        <v>0</v>
      </c>
    </row>
    <row r="43" customFormat="false" ht="15" hidden="false" customHeight="false" outlineLevel="0" collapsed="false">
      <c r="A43" s="8" t="s">
        <v>59</v>
      </c>
      <c r="B43" s="8" t="n">
        <f aca="false">COUNTIF(CATALOGUE!$H$2:$H$207,A43)</f>
        <v>24</v>
      </c>
      <c r="C43" s="8" t="n">
        <f aca="false">COUNTIFS(CATALOGUE!$H$2:$H$207,A43,CATALOGUE!$O$2:$O$207,"Include")</f>
        <v>0</v>
      </c>
      <c r="D43" s="8" t="n">
        <f aca="false">COUNTIFS(CATALOGUE!$H$2:$H$207,A43,CATALOGUE!$O$2:$O$207,"Later")</f>
        <v>0</v>
      </c>
      <c r="E43" s="8" t="n">
        <f aca="false">COUNTIFS(CATALOGUE!$H$2:$H$207,A43,CATALOGUE!$O$2:$O$207,"Skip")</f>
        <v>0</v>
      </c>
    </row>
    <row r="44" customFormat="false" ht="15" hidden="false" customHeight="false" outlineLevel="0" collapsed="false">
      <c r="A44" s="6" t="s">
        <v>44</v>
      </c>
      <c r="B44" s="9" t="n">
        <f aca="false">SUM(B34:B43)</f>
        <v>206</v>
      </c>
      <c r="C44" s="9" t="n">
        <f aca="false">SUM(C34:C43)</f>
        <v>0</v>
      </c>
      <c r="D44" s="9" t="n">
        <f aca="false">SUM(D34:D43)</f>
        <v>0</v>
      </c>
      <c r="E44" s="9" t="n">
        <f aca="false">SUM(E34:E43)</f>
        <v>0</v>
      </c>
    </row>
    <row r="46" customFormat="false" ht="15" hidden="false" customHeight="false" outlineLevel="0" collapsed="false">
      <c r="A46" s="6" t="s">
        <v>60</v>
      </c>
    </row>
    <row r="47" customFormat="false" ht="15" hidden="false" customHeight="false" outlineLevel="0" collapsed="false">
      <c r="A47" s="7" t="s">
        <v>22</v>
      </c>
      <c r="B47" s="7" t="s">
        <v>23</v>
      </c>
      <c r="C47" s="7" t="s">
        <v>24</v>
      </c>
      <c r="D47" s="7" t="s">
        <v>25</v>
      </c>
      <c r="E47" s="7" t="s">
        <v>26</v>
      </c>
    </row>
    <row r="48" customFormat="false" ht="15" hidden="false" customHeight="false" outlineLevel="0" collapsed="false">
      <c r="A48" s="8" t="s">
        <v>61</v>
      </c>
      <c r="B48" s="8" t="n">
        <f aca="false">COUNTIF(CATALOGUE!$M$2:$M$207,A48)</f>
        <v>77</v>
      </c>
      <c r="C48" s="8" t="n">
        <f aca="false">COUNTIFS(CATALOGUE!$M$2:$M$207,A48,CATALOGUE!$O$2:$O$207,"Include")</f>
        <v>0</v>
      </c>
      <c r="D48" s="8" t="n">
        <f aca="false">COUNTIFS(CATALOGUE!$M$2:$M$207,A48,CATALOGUE!$O$2:$O$207,"Later")</f>
        <v>0</v>
      </c>
      <c r="E48" s="8" t="n">
        <f aca="false">COUNTIFS(CATALOGUE!$M$2:$M$207,A48,CATALOGUE!$O$2:$O$207,"Skip")</f>
        <v>0</v>
      </c>
    </row>
    <row r="49" customFormat="false" ht="15" hidden="false" customHeight="false" outlineLevel="0" collapsed="false">
      <c r="A49" s="8" t="s">
        <v>62</v>
      </c>
      <c r="B49" s="8" t="n">
        <f aca="false">COUNTIF(CATALOGUE!$M$2:$M$207,A49)</f>
        <v>16</v>
      </c>
      <c r="C49" s="8" t="n">
        <f aca="false">COUNTIFS(CATALOGUE!$M$2:$M$207,A49,CATALOGUE!$O$2:$O$207,"Include")</f>
        <v>0</v>
      </c>
      <c r="D49" s="8" t="n">
        <f aca="false">COUNTIFS(CATALOGUE!$M$2:$M$207,A49,CATALOGUE!$O$2:$O$207,"Later")</f>
        <v>0</v>
      </c>
      <c r="E49" s="8" t="n">
        <f aca="false">COUNTIFS(CATALOGUE!$M$2:$M$207,A49,CATALOGUE!$O$2:$O$207,"Skip")</f>
        <v>0</v>
      </c>
    </row>
    <row r="50" customFormat="false" ht="15" hidden="false" customHeight="false" outlineLevel="0" collapsed="false">
      <c r="A50" s="8" t="s">
        <v>63</v>
      </c>
      <c r="B50" s="8" t="n">
        <f aca="false">COUNTIF(CATALOGUE!$M$2:$M$207,A50)</f>
        <v>60</v>
      </c>
      <c r="C50" s="8" t="n">
        <f aca="false">COUNTIFS(CATALOGUE!$M$2:$M$207,A50,CATALOGUE!$O$2:$O$207,"Include")</f>
        <v>0</v>
      </c>
      <c r="D50" s="8" t="n">
        <f aca="false">COUNTIFS(CATALOGUE!$M$2:$M$207,A50,CATALOGUE!$O$2:$O$207,"Later")</f>
        <v>0</v>
      </c>
      <c r="E50" s="8" t="n">
        <f aca="false">COUNTIFS(CATALOGUE!$M$2:$M$207,A50,CATALOGUE!$O$2:$O$207,"Skip")</f>
        <v>0</v>
      </c>
    </row>
    <row r="51" customFormat="false" ht="15" hidden="false" customHeight="false" outlineLevel="0" collapsed="false">
      <c r="A51" s="8" t="s">
        <v>64</v>
      </c>
      <c r="B51" s="8" t="n">
        <f aca="false">COUNTIF(CATALOGUE!$M$2:$M$207,A51)</f>
        <v>47</v>
      </c>
      <c r="C51" s="8" t="n">
        <f aca="false">COUNTIFS(CATALOGUE!$M$2:$M$207,A51,CATALOGUE!$O$2:$O$207,"Include")</f>
        <v>0</v>
      </c>
      <c r="D51" s="8" t="n">
        <f aca="false">COUNTIFS(CATALOGUE!$M$2:$M$207,A51,CATALOGUE!$O$2:$O$207,"Later")</f>
        <v>0</v>
      </c>
      <c r="E51" s="8" t="n">
        <f aca="false">COUNTIFS(CATALOGUE!$M$2:$M$207,A51,CATALOGUE!$O$2:$O$207,"Skip")</f>
        <v>0</v>
      </c>
    </row>
    <row r="52" customFormat="false" ht="15" hidden="false" customHeight="false" outlineLevel="0" collapsed="false">
      <c r="A52" s="8" t="s">
        <v>65</v>
      </c>
      <c r="B52" s="8" t="n">
        <f aca="false">COUNTIF(CATALOGUE!$M$2:$M$207,A52)</f>
        <v>6</v>
      </c>
      <c r="C52" s="8" t="n">
        <f aca="false">COUNTIFS(CATALOGUE!$M$2:$M$207,A52,CATALOGUE!$O$2:$O$207,"Include")</f>
        <v>0</v>
      </c>
      <c r="D52" s="8" t="n">
        <f aca="false">COUNTIFS(CATALOGUE!$M$2:$M$207,A52,CATALOGUE!$O$2:$O$207,"Later")</f>
        <v>0</v>
      </c>
      <c r="E52" s="8" t="n">
        <f aca="false">COUNTIFS(CATALOGUE!$M$2:$M$207,A52,CATALOGUE!$O$2:$O$207,"Skip")</f>
        <v>0</v>
      </c>
    </row>
    <row r="53" customFormat="false" ht="15" hidden="false" customHeight="false" outlineLevel="0" collapsed="false">
      <c r="A53" s="6" t="s">
        <v>44</v>
      </c>
      <c r="B53" s="9" t="n">
        <f aca="false">SUM(B48:B52)</f>
        <v>206</v>
      </c>
      <c r="C53" s="9" t="n">
        <f aca="false">SUM(C48:C52)</f>
        <v>0</v>
      </c>
      <c r="D53" s="9" t="n">
        <f aca="false">SUM(D48:D52)</f>
        <v>0</v>
      </c>
      <c r="E53" s="9" t="n">
        <f aca="false">SUM(E48:E52)</f>
        <v>0</v>
      </c>
    </row>
    <row r="55" customFormat="false" ht="15" hidden="false" customHeight="false" outlineLevel="0" collapsed="false">
      <c r="A55" s="6" t="s">
        <v>66</v>
      </c>
    </row>
    <row r="56" customFormat="false" ht="15" hidden="false" customHeight="false" outlineLevel="0" collapsed="false">
      <c r="A56" s="7" t="s">
        <v>22</v>
      </c>
      <c r="B56" s="7" t="s">
        <v>23</v>
      </c>
      <c r="C56" s="7" t="s">
        <v>24</v>
      </c>
      <c r="D56" s="7" t="s">
        <v>25</v>
      </c>
      <c r="E56" s="7" t="s">
        <v>26</v>
      </c>
    </row>
    <row r="57" customFormat="false" ht="15" hidden="false" customHeight="false" outlineLevel="0" collapsed="false">
      <c r="A57" s="8" t="s">
        <v>67</v>
      </c>
      <c r="B57" s="8" t="n">
        <f aca="false">COUNTIF(CATALOGUE!$K$2:$K$207,A57)</f>
        <v>10</v>
      </c>
      <c r="C57" s="8" t="n">
        <f aca="false">COUNTIFS(CATALOGUE!$K$2:$K$207,A57,CATALOGUE!$O$2:$O$207,"Include")</f>
        <v>0</v>
      </c>
      <c r="D57" s="8" t="n">
        <f aca="false">COUNTIFS(CATALOGUE!$K$2:$K$207,A57,CATALOGUE!$O$2:$O$207,"Later")</f>
        <v>0</v>
      </c>
      <c r="E57" s="8" t="n">
        <f aca="false">COUNTIFS(CATALOGUE!$K$2:$K$207,A57,CATALOGUE!$O$2:$O$207,"Skip")</f>
        <v>0</v>
      </c>
    </row>
    <row r="58" customFormat="false" ht="15" hidden="false" customHeight="false" outlineLevel="0" collapsed="false">
      <c r="A58" s="8" t="s">
        <v>68</v>
      </c>
      <c r="B58" s="8" t="n">
        <f aca="false">COUNTIF(CATALOGUE!$K$2:$K$207,A58)</f>
        <v>19</v>
      </c>
      <c r="C58" s="8" t="n">
        <f aca="false">COUNTIFS(CATALOGUE!$K$2:$K$207,A58,CATALOGUE!$O$2:$O$207,"Include")</f>
        <v>0</v>
      </c>
      <c r="D58" s="8" t="n">
        <f aca="false">COUNTIFS(CATALOGUE!$K$2:$K$207,A58,CATALOGUE!$O$2:$O$207,"Later")</f>
        <v>0</v>
      </c>
      <c r="E58" s="8" t="n">
        <f aca="false">COUNTIFS(CATALOGUE!$K$2:$K$207,A58,CATALOGUE!$O$2:$O$207,"Skip")</f>
        <v>0</v>
      </c>
    </row>
    <row r="59" customFormat="false" ht="15" hidden="false" customHeight="false" outlineLevel="0" collapsed="false">
      <c r="A59" s="8" t="s">
        <v>69</v>
      </c>
      <c r="B59" s="8" t="n">
        <f aca="false">COUNTIF(CATALOGUE!$K$2:$K$207,A59)</f>
        <v>11</v>
      </c>
      <c r="C59" s="8" t="n">
        <f aca="false">COUNTIFS(CATALOGUE!$K$2:$K$207,A59,CATALOGUE!$O$2:$O$207,"Include")</f>
        <v>0</v>
      </c>
      <c r="D59" s="8" t="n">
        <f aca="false">COUNTIFS(CATALOGUE!$K$2:$K$207,A59,CATALOGUE!$O$2:$O$207,"Later")</f>
        <v>0</v>
      </c>
      <c r="E59" s="8" t="n">
        <f aca="false">COUNTIFS(CATALOGUE!$K$2:$K$207,A59,CATALOGUE!$O$2:$O$207,"Skip")</f>
        <v>0</v>
      </c>
    </row>
    <row r="60" customFormat="false" ht="15" hidden="false" customHeight="false" outlineLevel="0" collapsed="false">
      <c r="A60" s="8" t="s">
        <v>70</v>
      </c>
      <c r="B60" s="8" t="n">
        <f aca="false">COUNTIF(CATALOGUE!$K$2:$K$207,A60)</f>
        <v>109</v>
      </c>
      <c r="C60" s="8" t="n">
        <f aca="false">COUNTIFS(CATALOGUE!$K$2:$K$207,A60,CATALOGUE!$O$2:$O$207,"Include")</f>
        <v>0</v>
      </c>
      <c r="D60" s="8" t="n">
        <f aca="false">COUNTIFS(CATALOGUE!$K$2:$K$207,A60,CATALOGUE!$O$2:$O$207,"Later")</f>
        <v>0</v>
      </c>
      <c r="E60" s="8" t="n">
        <f aca="false">COUNTIFS(CATALOGUE!$K$2:$K$207,A60,CATALOGUE!$O$2:$O$207,"Skip")</f>
        <v>0</v>
      </c>
    </row>
    <row r="61" customFormat="false" ht="15" hidden="false" customHeight="false" outlineLevel="0" collapsed="false">
      <c r="A61" s="8" t="s">
        <v>71</v>
      </c>
      <c r="B61" s="8" t="n">
        <f aca="false">COUNTIF(CATALOGUE!$K$2:$K$207,A61)</f>
        <v>3</v>
      </c>
      <c r="C61" s="8" t="n">
        <f aca="false">COUNTIFS(CATALOGUE!$K$2:$K$207,A61,CATALOGUE!$O$2:$O$207,"Include")</f>
        <v>0</v>
      </c>
      <c r="D61" s="8" t="n">
        <f aca="false">COUNTIFS(CATALOGUE!$K$2:$K$207,A61,CATALOGUE!$O$2:$O$207,"Later")</f>
        <v>0</v>
      </c>
      <c r="E61" s="8" t="n">
        <f aca="false">COUNTIFS(CATALOGUE!$K$2:$K$207,A61,CATALOGUE!$O$2:$O$207,"Skip")</f>
        <v>0</v>
      </c>
    </row>
    <row r="62" customFormat="false" ht="15" hidden="false" customHeight="false" outlineLevel="0" collapsed="false">
      <c r="A62" s="8" t="s">
        <v>72</v>
      </c>
      <c r="B62" s="8" t="n">
        <f aca="false">COUNTIF(CATALOGUE!$K$2:$K$207,A62)</f>
        <v>54</v>
      </c>
      <c r="C62" s="8" t="n">
        <f aca="false">COUNTIFS(CATALOGUE!$K$2:$K$207,A62,CATALOGUE!$O$2:$O$207,"Include")</f>
        <v>0</v>
      </c>
      <c r="D62" s="8" t="n">
        <f aca="false">COUNTIFS(CATALOGUE!$K$2:$K$207,A62,CATALOGUE!$O$2:$O$207,"Later")</f>
        <v>0</v>
      </c>
      <c r="E62" s="8" t="n">
        <f aca="false">COUNTIFS(CATALOGUE!$K$2:$K$207,A62,CATALOGUE!$O$2:$O$207,"Skip")</f>
        <v>0</v>
      </c>
    </row>
    <row r="63" customFormat="false" ht="15" hidden="false" customHeight="false" outlineLevel="0" collapsed="false">
      <c r="A63" s="6" t="s">
        <v>44</v>
      </c>
      <c r="B63" s="9" t="n">
        <f aca="false">SUM(B57:B62)</f>
        <v>206</v>
      </c>
      <c r="C63" s="9" t="n">
        <f aca="false">SUM(C57:C62)</f>
        <v>0</v>
      </c>
      <c r="D63" s="9" t="n">
        <f aca="false">SUM(D57:D62)</f>
        <v>0</v>
      </c>
      <c r="E63" s="9" t="n">
        <f aca="false">SUM(E57:E62)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34"/>
    <col collapsed="false" customWidth="true" hidden="false" outlineLevel="0" max="11" min="11" style="0" width="22"/>
    <col collapsed="false" customWidth="true" hidden="false" outlineLevel="0" max="13" min="12" style="0" width="9"/>
    <col collapsed="false" customWidth="true" hidden="false" outlineLevel="0" max="14" min="14" style="0" width="40"/>
    <col collapsed="false" customWidth="true" hidden="false" outlineLevel="0" max="15" min="15" style="0" width="13"/>
    <col collapsed="false" customWidth="true" hidden="false" outlineLevel="0" max="16" min="16" style="0" width="24"/>
  </cols>
  <sheetData>
    <row r="1" customFormat="false" ht="30" hidden="false" customHeight="true" outlineLevel="0" collapsed="false">
      <c r="A1" s="10" t="s">
        <v>73</v>
      </c>
      <c r="B1" s="10" t="s">
        <v>74</v>
      </c>
      <c r="C1" s="10" t="s">
        <v>75</v>
      </c>
      <c r="D1" s="10" t="s">
        <v>76</v>
      </c>
      <c r="E1" s="10" t="s">
        <v>77</v>
      </c>
      <c r="F1" s="10" t="s">
        <v>78</v>
      </c>
      <c r="G1" s="10" t="s">
        <v>79</v>
      </c>
      <c r="H1" s="10" t="s">
        <v>80</v>
      </c>
      <c r="I1" s="10" t="s">
        <v>81</v>
      </c>
      <c r="J1" s="10" t="s">
        <v>13</v>
      </c>
      <c r="K1" s="10" t="s">
        <v>11</v>
      </c>
      <c r="L1" s="10" t="s">
        <v>7</v>
      </c>
      <c r="M1" s="10" t="s">
        <v>9</v>
      </c>
      <c r="N1" s="10" t="s">
        <v>82</v>
      </c>
      <c r="O1" s="10" t="s">
        <v>83</v>
      </c>
      <c r="P1" s="10" t="s">
        <v>84</v>
      </c>
    </row>
    <row r="2" customFormat="false" ht="46.25" hidden="false" customHeight="false" outlineLevel="0" collapsed="false">
      <c r="A2" s="11" t="s">
        <v>85</v>
      </c>
      <c r="B2" s="11" t="s">
        <v>27</v>
      </c>
      <c r="C2" s="11" t="s">
        <v>86</v>
      </c>
      <c r="D2" s="11" t="s">
        <v>87</v>
      </c>
      <c r="E2" s="11" t="s">
        <v>88</v>
      </c>
      <c r="F2" s="11" t="s">
        <v>89</v>
      </c>
      <c r="G2" s="11" t="s">
        <v>90</v>
      </c>
      <c r="H2" s="11" t="s">
        <v>52</v>
      </c>
      <c r="I2" s="11" t="s">
        <v>91</v>
      </c>
      <c r="J2" s="11" t="s">
        <v>92</v>
      </c>
      <c r="K2" s="11" t="s">
        <v>72</v>
      </c>
      <c r="L2" s="11" t="s">
        <v>46</v>
      </c>
      <c r="M2" s="11" t="s">
        <v>61</v>
      </c>
      <c r="N2" s="11" t="s">
        <v>93</v>
      </c>
      <c r="O2" s="12"/>
      <c r="P2" s="12"/>
    </row>
    <row r="3" customFormat="false" ht="46.25" hidden="false" customHeight="false" outlineLevel="0" collapsed="false">
      <c r="A3" s="11" t="s">
        <v>94</v>
      </c>
      <c r="B3" s="11" t="s">
        <v>27</v>
      </c>
      <c r="C3" s="11" t="s">
        <v>95</v>
      </c>
      <c r="D3" s="11" t="s">
        <v>96</v>
      </c>
      <c r="E3" s="11" t="s">
        <v>88</v>
      </c>
      <c r="F3" s="11" t="s">
        <v>89</v>
      </c>
      <c r="G3" s="11" t="s">
        <v>90</v>
      </c>
      <c r="H3" s="11" t="s">
        <v>52</v>
      </c>
      <c r="I3" s="11" t="s">
        <v>97</v>
      </c>
      <c r="J3" s="11" t="s">
        <v>92</v>
      </c>
      <c r="K3" s="11" t="s">
        <v>72</v>
      </c>
      <c r="L3" s="11" t="s">
        <v>46</v>
      </c>
      <c r="M3" s="11" t="s">
        <v>61</v>
      </c>
      <c r="N3" s="11" t="s">
        <v>98</v>
      </c>
      <c r="O3" s="12"/>
      <c r="P3" s="12"/>
    </row>
    <row r="4" customFormat="false" ht="23.85" hidden="false" customHeight="false" outlineLevel="0" collapsed="false">
      <c r="A4" s="11" t="s">
        <v>99</v>
      </c>
      <c r="B4" s="11" t="s">
        <v>27</v>
      </c>
      <c r="C4" s="11" t="s">
        <v>100</v>
      </c>
      <c r="D4" s="11" t="s">
        <v>101</v>
      </c>
      <c r="E4" s="11" t="s">
        <v>102</v>
      </c>
      <c r="F4" s="11" t="s">
        <v>89</v>
      </c>
      <c r="G4" s="11" t="s">
        <v>90</v>
      </c>
      <c r="H4" s="11" t="s">
        <v>52</v>
      </c>
      <c r="I4" s="11" t="s">
        <v>103</v>
      </c>
      <c r="J4" s="11" t="s">
        <v>104</v>
      </c>
      <c r="K4" s="11" t="s">
        <v>72</v>
      </c>
      <c r="L4" s="11" t="s">
        <v>47</v>
      </c>
      <c r="M4" s="11" t="s">
        <v>61</v>
      </c>
      <c r="N4" s="11"/>
      <c r="O4" s="12"/>
      <c r="P4" s="12"/>
    </row>
    <row r="5" customFormat="false" ht="46.25" hidden="false" customHeight="false" outlineLevel="0" collapsed="false">
      <c r="A5" s="11" t="s">
        <v>105</v>
      </c>
      <c r="B5" s="11" t="s">
        <v>27</v>
      </c>
      <c r="C5" s="11" t="s">
        <v>106</v>
      </c>
      <c r="D5" s="11" t="s">
        <v>107</v>
      </c>
      <c r="E5" s="11" t="s">
        <v>88</v>
      </c>
      <c r="F5" s="11" t="s">
        <v>89</v>
      </c>
      <c r="G5" s="11" t="s">
        <v>90</v>
      </c>
      <c r="H5" s="11" t="s">
        <v>52</v>
      </c>
      <c r="I5" s="11" t="s">
        <v>108</v>
      </c>
      <c r="J5" s="11" t="s">
        <v>92</v>
      </c>
      <c r="K5" s="11" t="s">
        <v>67</v>
      </c>
      <c r="L5" s="11" t="s">
        <v>46</v>
      </c>
      <c r="M5" s="11" t="s">
        <v>61</v>
      </c>
      <c r="N5" s="11" t="s">
        <v>109</v>
      </c>
      <c r="O5" s="12"/>
      <c r="P5" s="12"/>
    </row>
    <row r="6" customFormat="false" ht="46.25" hidden="false" customHeight="false" outlineLevel="0" collapsed="false">
      <c r="A6" s="11" t="s">
        <v>110</v>
      </c>
      <c r="B6" s="11" t="s">
        <v>27</v>
      </c>
      <c r="C6" s="11" t="s">
        <v>111</v>
      </c>
      <c r="D6" s="11"/>
      <c r="E6" s="11" t="s">
        <v>88</v>
      </c>
      <c r="F6" s="11" t="s">
        <v>89</v>
      </c>
      <c r="G6" s="11" t="s">
        <v>90</v>
      </c>
      <c r="H6" s="11" t="s">
        <v>52</v>
      </c>
      <c r="I6" s="11" t="s">
        <v>112</v>
      </c>
      <c r="J6" s="11" t="s">
        <v>92</v>
      </c>
      <c r="K6" s="11" t="s">
        <v>67</v>
      </c>
      <c r="L6" s="11" t="s">
        <v>46</v>
      </c>
      <c r="M6" s="11" t="s">
        <v>61</v>
      </c>
      <c r="N6" s="11"/>
      <c r="O6" s="12"/>
      <c r="P6" s="12"/>
    </row>
    <row r="7" customFormat="false" ht="46.25" hidden="false" customHeight="false" outlineLevel="0" collapsed="false">
      <c r="A7" s="11" t="s">
        <v>113</v>
      </c>
      <c r="B7" s="11" t="s">
        <v>27</v>
      </c>
      <c r="C7" s="11" t="s">
        <v>114</v>
      </c>
      <c r="D7" s="11" t="s">
        <v>115</v>
      </c>
      <c r="E7" s="11" t="s">
        <v>88</v>
      </c>
      <c r="F7" s="11" t="s">
        <v>89</v>
      </c>
      <c r="G7" s="11" t="s">
        <v>90</v>
      </c>
      <c r="H7" s="11" t="s">
        <v>52</v>
      </c>
      <c r="I7" s="11" t="s">
        <v>112</v>
      </c>
      <c r="J7" s="11" t="s">
        <v>92</v>
      </c>
      <c r="K7" s="11" t="s">
        <v>67</v>
      </c>
      <c r="L7" s="11" t="s">
        <v>46</v>
      </c>
      <c r="M7" s="11" t="s">
        <v>61</v>
      </c>
      <c r="N7" s="11"/>
      <c r="O7" s="12"/>
      <c r="P7" s="12"/>
    </row>
    <row r="8" customFormat="false" ht="46.25" hidden="false" customHeight="false" outlineLevel="0" collapsed="false">
      <c r="A8" s="11" t="s">
        <v>116</v>
      </c>
      <c r="B8" s="11" t="s">
        <v>27</v>
      </c>
      <c r="C8" s="11" t="s">
        <v>117</v>
      </c>
      <c r="D8" s="11"/>
      <c r="E8" s="11" t="s">
        <v>88</v>
      </c>
      <c r="F8" s="11" t="s">
        <v>89</v>
      </c>
      <c r="G8" s="11" t="s">
        <v>90</v>
      </c>
      <c r="H8" s="11" t="s">
        <v>52</v>
      </c>
      <c r="I8" s="11" t="s">
        <v>112</v>
      </c>
      <c r="J8" s="11" t="s">
        <v>92</v>
      </c>
      <c r="K8" s="11" t="s">
        <v>67</v>
      </c>
      <c r="L8" s="11" t="s">
        <v>47</v>
      </c>
      <c r="M8" s="11" t="s">
        <v>61</v>
      </c>
      <c r="N8" s="11"/>
      <c r="O8" s="12"/>
      <c r="P8" s="12"/>
    </row>
    <row r="9" customFormat="false" ht="23.85" hidden="false" customHeight="false" outlineLevel="0" collapsed="false">
      <c r="A9" s="11" t="s">
        <v>118</v>
      </c>
      <c r="B9" s="11" t="s">
        <v>27</v>
      </c>
      <c r="C9" s="11" t="s">
        <v>119</v>
      </c>
      <c r="D9" s="11"/>
      <c r="E9" s="11" t="s">
        <v>102</v>
      </c>
      <c r="F9" s="11" t="s">
        <v>89</v>
      </c>
      <c r="G9" s="11" t="s">
        <v>90</v>
      </c>
      <c r="H9" s="11" t="s">
        <v>52</v>
      </c>
      <c r="I9" s="11" t="s">
        <v>112</v>
      </c>
      <c r="J9" s="11" t="s">
        <v>120</v>
      </c>
      <c r="K9" s="11" t="s">
        <v>67</v>
      </c>
      <c r="L9" s="11" t="s">
        <v>48</v>
      </c>
      <c r="M9" s="11" t="s">
        <v>61</v>
      </c>
      <c r="N9" s="11"/>
      <c r="O9" s="12"/>
      <c r="P9" s="12"/>
    </row>
    <row r="10" customFormat="false" ht="23.85" hidden="false" customHeight="false" outlineLevel="0" collapsed="false">
      <c r="A10" s="11" t="s">
        <v>121</v>
      </c>
      <c r="B10" s="11" t="s">
        <v>27</v>
      </c>
      <c r="C10" s="11" t="s">
        <v>122</v>
      </c>
      <c r="D10" s="11"/>
      <c r="E10" s="11" t="s">
        <v>102</v>
      </c>
      <c r="F10" s="11" t="s">
        <v>89</v>
      </c>
      <c r="G10" s="11" t="s">
        <v>90</v>
      </c>
      <c r="H10" s="11" t="s">
        <v>52</v>
      </c>
      <c r="I10" s="11" t="s">
        <v>112</v>
      </c>
      <c r="J10" s="11" t="s">
        <v>120</v>
      </c>
      <c r="K10" s="11" t="s">
        <v>67</v>
      </c>
      <c r="L10" s="11" t="s">
        <v>47</v>
      </c>
      <c r="M10" s="11" t="s">
        <v>61</v>
      </c>
      <c r="N10" s="11"/>
      <c r="O10" s="12"/>
      <c r="P10" s="12"/>
    </row>
    <row r="11" customFormat="false" ht="23.85" hidden="false" customHeight="false" outlineLevel="0" collapsed="false">
      <c r="A11" s="11" t="s">
        <v>123</v>
      </c>
      <c r="B11" s="11" t="s">
        <v>27</v>
      </c>
      <c r="C11" s="11" t="s">
        <v>124</v>
      </c>
      <c r="D11" s="11"/>
      <c r="E11" s="11" t="s">
        <v>102</v>
      </c>
      <c r="F11" s="11" t="s">
        <v>125</v>
      </c>
      <c r="G11" s="11" t="s">
        <v>90</v>
      </c>
      <c r="H11" s="11" t="s">
        <v>52</v>
      </c>
      <c r="I11" s="11" t="s">
        <v>112</v>
      </c>
      <c r="J11" s="11" t="s">
        <v>120</v>
      </c>
      <c r="K11" s="11" t="s">
        <v>67</v>
      </c>
      <c r="L11" s="11" t="s">
        <v>47</v>
      </c>
      <c r="M11" s="11" t="s">
        <v>61</v>
      </c>
      <c r="N11" s="11"/>
      <c r="O11" s="12"/>
      <c r="P11" s="12"/>
    </row>
    <row r="12" customFormat="false" ht="23.85" hidden="false" customHeight="false" outlineLevel="0" collapsed="false">
      <c r="A12" s="11" t="s">
        <v>126</v>
      </c>
      <c r="B12" s="11" t="s">
        <v>27</v>
      </c>
      <c r="C12" s="11" t="s">
        <v>127</v>
      </c>
      <c r="D12" s="11" t="s">
        <v>128</v>
      </c>
      <c r="E12" s="11" t="s">
        <v>102</v>
      </c>
      <c r="F12" s="11" t="s">
        <v>129</v>
      </c>
      <c r="G12" s="11" t="s">
        <v>90</v>
      </c>
      <c r="H12" s="11" t="s">
        <v>52</v>
      </c>
      <c r="I12" s="11" t="s">
        <v>112</v>
      </c>
      <c r="J12" s="11" t="s">
        <v>120</v>
      </c>
      <c r="K12" s="11" t="s">
        <v>67</v>
      </c>
      <c r="L12" s="11" t="s">
        <v>47</v>
      </c>
      <c r="M12" s="11" t="s">
        <v>61</v>
      </c>
      <c r="N12" s="11"/>
      <c r="O12" s="12"/>
      <c r="P12" s="12"/>
    </row>
    <row r="13" customFormat="false" ht="23.85" hidden="false" customHeight="false" outlineLevel="0" collapsed="false">
      <c r="A13" s="11" t="s">
        <v>130</v>
      </c>
      <c r="B13" s="11" t="s">
        <v>27</v>
      </c>
      <c r="C13" s="11" t="s">
        <v>131</v>
      </c>
      <c r="D13" s="11"/>
      <c r="E13" s="11" t="s">
        <v>102</v>
      </c>
      <c r="F13" s="11" t="s">
        <v>89</v>
      </c>
      <c r="G13" s="11" t="s">
        <v>90</v>
      </c>
      <c r="H13" s="11" t="s">
        <v>52</v>
      </c>
      <c r="I13" s="11" t="s">
        <v>112</v>
      </c>
      <c r="J13" s="11" t="s">
        <v>120</v>
      </c>
      <c r="K13" s="11" t="s">
        <v>67</v>
      </c>
      <c r="L13" s="11" t="s">
        <v>48</v>
      </c>
      <c r="M13" s="11" t="s">
        <v>61</v>
      </c>
      <c r="N13" s="11"/>
      <c r="O13" s="12"/>
      <c r="P13" s="12"/>
    </row>
    <row r="14" customFormat="false" ht="23.85" hidden="false" customHeight="false" outlineLevel="0" collapsed="false">
      <c r="A14" s="11" t="s">
        <v>132</v>
      </c>
      <c r="B14" s="11" t="s">
        <v>27</v>
      </c>
      <c r="C14" s="11" t="s">
        <v>133</v>
      </c>
      <c r="D14" s="11"/>
      <c r="E14" s="11" t="s">
        <v>102</v>
      </c>
      <c r="F14" s="11" t="s">
        <v>89</v>
      </c>
      <c r="G14" s="11" t="s">
        <v>90</v>
      </c>
      <c r="H14" s="11" t="s">
        <v>52</v>
      </c>
      <c r="I14" s="11" t="s">
        <v>112</v>
      </c>
      <c r="J14" s="11" t="s">
        <v>120</v>
      </c>
      <c r="K14" s="11" t="s">
        <v>67</v>
      </c>
      <c r="L14" s="11" t="s">
        <v>48</v>
      </c>
      <c r="M14" s="11" t="s">
        <v>61</v>
      </c>
      <c r="N14" s="11"/>
      <c r="O14" s="12"/>
      <c r="P14" s="12"/>
    </row>
    <row r="15" customFormat="false" ht="15" hidden="false" customHeight="false" outlineLevel="0" collapsed="false">
      <c r="A15" s="11" t="s">
        <v>134</v>
      </c>
      <c r="B15" s="11" t="s">
        <v>27</v>
      </c>
      <c r="C15" s="11" t="s">
        <v>135</v>
      </c>
      <c r="D15" s="11" t="s">
        <v>136</v>
      </c>
      <c r="E15" s="11" t="s">
        <v>88</v>
      </c>
      <c r="F15" s="11" t="s">
        <v>137</v>
      </c>
      <c r="G15" s="11" t="s">
        <v>138</v>
      </c>
      <c r="H15" s="11" t="s">
        <v>54</v>
      </c>
      <c r="I15" s="11" t="s">
        <v>139</v>
      </c>
      <c r="J15" s="11" t="s">
        <v>68</v>
      </c>
      <c r="K15" s="11" t="s">
        <v>68</v>
      </c>
      <c r="L15" s="11" t="s">
        <v>47</v>
      </c>
      <c r="M15" s="11" t="s">
        <v>61</v>
      </c>
      <c r="N15" s="11"/>
      <c r="O15" s="12"/>
      <c r="P15" s="12"/>
    </row>
    <row r="16" customFormat="false" ht="23.85" hidden="false" customHeight="false" outlineLevel="0" collapsed="false">
      <c r="A16" s="11" t="s">
        <v>140</v>
      </c>
      <c r="B16" s="11" t="s">
        <v>28</v>
      </c>
      <c r="C16" s="11" t="s">
        <v>141</v>
      </c>
      <c r="D16" s="11" t="s">
        <v>142</v>
      </c>
      <c r="E16" s="11" t="s">
        <v>143</v>
      </c>
      <c r="F16" s="11" t="s">
        <v>144</v>
      </c>
      <c r="G16" s="11" t="s">
        <v>90</v>
      </c>
      <c r="H16" s="11" t="s">
        <v>52</v>
      </c>
      <c r="I16" s="11" t="s">
        <v>145</v>
      </c>
      <c r="J16" s="11" t="s">
        <v>146</v>
      </c>
      <c r="K16" s="11" t="s">
        <v>72</v>
      </c>
      <c r="L16" s="11" t="s">
        <v>46</v>
      </c>
      <c r="M16" s="11" t="s">
        <v>61</v>
      </c>
      <c r="N16" s="11" t="s">
        <v>147</v>
      </c>
      <c r="O16" s="12"/>
      <c r="P16" s="12"/>
    </row>
    <row r="17" customFormat="false" ht="23.85" hidden="false" customHeight="false" outlineLevel="0" collapsed="false">
      <c r="A17" s="11" t="s">
        <v>148</v>
      </c>
      <c r="B17" s="11" t="s">
        <v>28</v>
      </c>
      <c r="C17" s="11" t="s">
        <v>149</v>
      </c>
      <c r="D17" s="11" t="s">
        <v>150</v>
      </c>
      <c r="E17" s="11" t="s">
        <v>143</v>
      </c>
      <c r="F17" s="11" t="s">
        <v>144</v>
      </c>
      <c r="G17" s="11" t="s">
        <v>90</v>
      </c>
      <c r="H17" s="11" t="s">
        <v>52</v>
      </c>
      <c r="I17" s="11" t="s">
        <v>151</v>
      </c>
      <c r="J17" s="11" t="s">
        <v>152</v>
      </c>
      <c r="K17" s="11" t="s">
        <v>72</v>
      </c>
      <c r="L17" s="11" t="s">
        <v>46</v>
      </c>
      <c r="M17" s="11" t="s">
        <v>61</v>
      </c>
      <c r="N17" s="11"/>
      <c r="O17" s="12"/>
      <c r="P17" s="12"/>
    </row>
    <row r="18" customFormat="false" ht="15" hidden="false" customHeight="false" outlineLevel="0" collapsed="false">
      <c r="A18" s="11" t="s">
        <v>153</v>
      </c>
      <c r="B18" s="11" t="s">
        <v>28</v>
      </c>
      <c r="C18" s="11" t="s">
        <v>154</v>
      </c>
      <c r="D18" s="11" t="s">
        <v>155</v>
      </c>
      <c r="E18" s="11" t="s">
        <v>143</v>
      </c>
      <c r="F18" s="11" t="s">
        <v>144</v>
      </c>
      <c r="G18" s="11" t="s">
        <v>90</v>
      </c>
      <c r="H18" s="11" t="s">
        <v>52</v>
      </c>
      <c r="I18" s="11" t="s">
        <v>156</v>
      </c>
      <c r="J18" s="11" t="s">
        <v>152</v>
      </c>
      <c r="K18" s="11" t="s">
        <v>72</v>
      </c>
      <c r="L18" s="11" t="s">
        <v>47</v>
      </c>
      <c r="M18" s="11" t="s">
        <v>61</v>
      </c>
      <c r="N18" s="11" t="s">
        <v>157</v>
      </c>
      <c r="O18" s="12"/>
      <c r="P18" s="12"/>
    </row>
    <row r="19" customFormat="false" ht="23.85" hidden="false" customHeight="false" outlineLevel="0" collapsed="false">
      <c r="A19" s="11" t="s">
        <v>158</v>
      </c>
      <c r="B19" s="11" t="s">
        <v>28</v>
      </c>
      <c r="C19" s="11" t="s">
        <v>159</v>
      </c>
      <c r="D19" s="11" t="s">
        <v>160</v>
      </c>
      <c r="E19" s="11" t="s">
        <v>143</v>
      </c>
      <c r="F19" s="11" t="s">
        <v>144</v>
      </c>
      <c r="G19" s="11" t="s">
        <v>90</v>
      </c>
      <c r="H19" s="11" t="s">
        <v>52</v>
      </c>
      <c r="I19" s="11" t="s">
        <v>161</v>
      </c>
      <c r="J19" s="11" t="s">
        <v>152</v>
      </c>
      <c r="K19" s="11" t="s">
        <v>72</v>
      </c>
      <c r="L19" s="11" t="s">
        <v>47</v>
      </c>
      <c r="M19" s="11" t="s">
        <v>61</v>
      </c>
      <c r="N19" s="11" t="s">
        <v>162</v>
      </c>
      <c r="O19" s="12"/>
      <c r="P19" s="12"/>
    </row>
    <row r="20" customFormat="false" ht="15" hidden="false" customHeight="false" outlineLevel="0" collapsed="false">
      <c r="A20" s="11" t="s">
        <v>163</v>
      </c>
      <c r="B20" s="11" t="s">
        <v>28</v>
      </c>
      <c r="C20" s="11" t="s">
        <v>164</v>
      </c>
      <c r="D20" s="11" t="s">
        <v>165</v>
      </c>
      <c r="E20" s="11" t="s">
        <v>143</v>
      </c>
      <c r="F20" s="11" t="s">
        <v>144</v>
      </c>
      <c r="G20" s="11" t="s">
        <v>90</v>
      </c>
      <c r="H20" s="11" t="s">
        <v>52</v>
      </c>
      <c r="I20" s="11" t="s">
        <v>166</v>
      </c>
      <c r="J20" s="11" t="s">
        <v>152</v>
      </c>
      <c r="K20" s="11" t="s">
        <v>72</v>
      </c>
      <c r="L20" s="11" t="s">
        <v>47</v>
      </c>
      <c r="M20" s="11" t="s">
        <v>61</v>
      </c>
      <c r="N20" s="11"/>
      <c r="O20" s="12"/>
      <c r="P20" s="12"/>
    </row>
    <row r="21" customFormat="false" ht="23.85" hidden="false" customHeight="false" outlineLevel="0" collapsed="false">
      <c r="A21" s="11" t="s">
        <v>167</v>
      </c>
      <c r="B21" s="11" t="s">
        <v>28</v>
      </c>
      <c r="C21" s="11" t="s">
        <v>168</v>
      </c>
      <c r="D21" s="11" t="s">
        <v>169</v>
      </c>
      <c r="E21" s="11" t="s">
        <v>143</v>
      </c>
      <c r="F21" s="11" t="s">
        <v>144</v>
      </c>
      <c r="G21" s="11" t="s">
        <v>90</v>
      </c>
      <c r="H21" s="11" t="s">
        <v>52</v>
      </c>
      <c r="I21" s="11" t="s">
        <v>170</v>
      </c>
      <c r="J21" s="11" t="s">
        <v>171</v>
      </c>
      <c r="K21" s="11" t="s">
        <v>72</v>
      </c>
      <c r="L21" s="11" t="s">
        <v>46</v>
      </c>
      <c r="M21" s="11" t="s">
        <v>61</v>
      </c>
      <c r="N21" s="11" t="s">
        <v>172</v>
      </c>
      <c r="O21" s="12"/>
      <c r="P21" s="12"/>
    </row>
    <row r="22" customFormat="false" ht="15" hidden="false" customHeight="false" outlineLevel="0" collapsed="false">
      <c r="A22" s="11" t="s">
        <v>173</v>
      </c>
      <c r="B22" s="11" t="s">
        <v>28</v>
      </c>
      <c r="C22" s="11" t="s">
        <v>174</v>
      </c>
      <c r="D22" s="11"/>
      <c r="E22" s="11" t="s">
        <v>143</v>
      </c>
      <c r="F22" s="11" t="s">
        <v>137</v>
      </c>
      <c r="G22" s="11" t="s">
        <v>90</v>
      </c>
      <c r="H22" s="11" t="s">
        <v>52</v>
      </c>
      <c r="I22" s="11" t="s">
        <v>175</v>
      </c>
      <c r="J22" s="11" t="s">
        <v>176</v>
      </c>
      <c r="K22" s="11" t="s">
        <v>72</v>
      </c>
      <c r="L22" s="11" t="s">
        <v>48</v>
      </c>
      <c r="M22" s="11" t="s">
        <v>61</v>
      </c>
      <c r="N22" s="11"/>
      <c r="O22" s="12"/>
      <c r="P22" s="12"/>
    </row>
    <row r="23" customFormat="false" ht="15" hidden="false" customHeight="false" outlineLevel="0" collapsed="false">
      <c r="A23" s="11" t="s">
        <v>177</v>
      </c>
      <c r="B23" s="11" t="s">
        <v>28</v>
      </c>
      <c r="C23" s="11" t="s">
        <v>178</v>
      </c>
      <c r="D23" s="11" t="s">
        <v>142</v>
      </c>
      <c r="E23" s="11" t="s">
        <v>143</v>
      </c>
      <c r="F23" s="11" t="s">
        <v>179</v>
      </c>
      <c r="G23" s="11" t="s">
        <v>90</v>
      </c>
      <c r="H23" s="11" t="s">
        <v>52</v>
      </c>
      <c r="I23" s="11" t="s">
        <v>180</v>
      </c>
      <c r="J23" s="11" t="s">
        <v>181</v>
      </c>
      <c r="K23" s="11" t="s">
        <v>72</v>
      </c>
      <c r="L23" s="11" t="s">
        <v>46</v>
      </c>
      <c r="M23" s="11" t="s">
        <v>61</v>
      </c>
      <c r="N23" s="11"/>
      <c r="O23" s="12"/>
      <c r="P23" s="12"/>
    </row>
    <row r="24" customFormat="false" ht="15" hidden="false" customHeight="false" outlineLevel="0" collapsed="false">
      <c r="A24" s="11" t="s">
        <v>182</v>
      </c>
      <c r="B24" s="11" t="s">
        <v>28</v>
      </c>
      <c r="C24" s="11" t="s">
        <v>183</v>
      </c>
      <c r="D24" s="11"/>
      <c r="E24" s="11" t="s">
        <v>143</v>
      </c>
      <c r="F24" s="11" t="s">
        <v>179</v>
      </c>
      <c r="G24" s="11" t="s">
        <v>184</v>
      </c>
      <c r="H24" s="11" t="s">
        <v>54</v>
      </c>
      <c r="I24" s="11" t="s">
        <v>185</v>
      </c>
      <c r="J24" s="11" t="s">
        <v>68</v>
      </c>
      <c r="K24" s="11" t="s">
        <v>68</v>
      </c>
      <c r="L24" s="11" t="s">
        <v>46</v>
      </c>
      <c r="M24" s="11" t="s">
        <v>61</v>
      </c>
      <c r="N24" s="11" t="s">
        <v>186</v>
      </c>
      <c r="O24" s="12"/>
      <c r="P24" s="12"/>
    </row>
    <row r="25" customFormat="false" ht="23.85" hidden="false" customHeight="false" outlineLevel="0" collapsed="false">
      <c r="A25" s="11" t="s">
        <v>187</v>
      </c>
      <c r="B25" s="11" t="s">
        <v>28</v>
      </c>
      <c r="C25" s="11" t="s">
        <v>188</v>
      </c>
      <c r="D25" s="11" t="s">
        <v>189</v>
      </c>
      <c r="E25" s="11" t="s">
        <v>143</v>
      </c>
      <c r="F25" s="11" t="s">
        <v>137</v>
      </c>
      <c r="G25" s="11" t="s">
        <v>190</v>
      </c>
      <c r="H25" s="11" t="s">
        <v>52</v>
      </c>
      <c r="I25" s="11" t="s">
        <v>191</v>
      </c>
      <c r="J25" s="11" t="s">
        <v>192</v>
      </c>
      <c r="K25" s="11" t="s">
        <v>72</v>
      </c>
      <c r="L25" s="11" t="s">
        <v>47</v>
      </c>
      <c r="M25" s="11" t="s">
        <v>61</v>
      </c>
      <c r="N25" s="11"/>
      <c r="O25" s="12"/>
      <c r="P25" s="12"/>
    </row>
    <row r="26" customFormat="false" ht="23.85" hidden="false" customHeight="false" outlineLevel="0" collapsed="false">
      <c r="A26" s="11" t="s">
        <v>193</v>
      </c>
      <c r="B26" s="11" t="s">
        <v>28</v>
      </c>
      <c r="C26" s="11" t="s">
        <v>194</v>
      </c>
      <c r="D26" s="11" t="s">
        <v>195</v>
      </c>
      <c r="E26" s="11" t="s">
        <v>143</v>
      </c>
      <c r="F26" s="11" t="s">
        <v>137</v>
      </c>
      <c r="G26" s="11" t="s">
        <v>196</v>
      </c>
      <c r="H26" s="11" t="s">
        <v>57</v>
      </c>
      <c r="I26" s="11" t="s">
        <v>197</v>
      </c>
      <c r="J26" s="11" t="s">
        <v>198</v>
      </c>
      <c r="K26" s="11" t="s">
        <v>70</v>
      </c>
      <c r="L26" s="11" t="s">
        <v>47</v>
      </c>
      <c r="M26" s="11" t="s">
        <v>64</v>
      </c>
      <c r="N26" s="11"/>
      <c r="O26" s="12"/>
      <c r="P26" s="12"/>
    </row>
    <row r="27" customFormat="false" ht="15" hidden="false" customHeight="false" outlineLevel="0" collapsed="false">
      <c r="A27" s="11" t="s">
        <v>199</v>
      </c>
      <c r="B27" s="11" t="s">
        <v>28</v>
      </c>
      <c r="C27" s="11" t="s">
        <v>200</v>
      </c>
      <c r="D27" s="11" t="s">
        <v>201</v>
      </c>
      <c r="E27" s="11" t="s">
        <v>143</v>
      </c>
      <c r="F27" s="11" t="s">
        <v>144</v>
      </c>
      <c r="G27" s="11" t="s">
        <v>202</v>
      </c>
      <c r="H27" s="11" t="s">
        <v>52</v>
      </c>
      <c r="I27" s="11" t="s">
        <v>203</v>
      </c>
      <c r="J27" s="11" t="s">
        <v>204</v>
      </c>
      <c r="K27" s="11" t="s">
        <v>72</v>
      </c>
      <c r="L27" s="11" t="s">
        <v>46</v>
      </c>
      <c r="M27" s="11" t="s">
        <v>61</v>
      </c>
      <c r="N27" s="11" t="s">
        <v>205</v>
      </c>
      <c r="O27" s="12"/>
      <c r="P27" s="12"/>
    </row>
    <row r="28" customFormat="false" ht="15" hidden="false" customHeight="false" outlineLevel="0" collapsed="false">
      <c r="A28" s="11" t="s">
        <v>206</v>
      </c>
      <c r="B28" s="11" t="s">
        <v>28</v>
      </c>
      <c r="C28" s="11" t="s">
        <v>207</v>
      </c>
      <c r="D28" s="11" t="s">
        <v>208</v>
      </c>
      <c r="E28" s="11" t="s">
        <v>143</v>
      </c>
      <c r="F28" s="11" t="s">
        <v>137</v>
      </c>
      <c r="G28" s="11" t="s">
        <v>202</v>
      </c>
      <c r="H28" s="11" t="s">
        <v>52</v>
      </c>
      <c r="I28" s="11" t="s">
        <v>209</v>
      </c>
      <c r="J28" s="11" t="s">
        <v>204</v>
      </c>
      <c r="K28" s="11" t="s">
        <v>72</v>
      </c>
      <c r="L28" s="11" t="s">
        <v>47</v>
      </c>
      <c r="M28" s="11" t="s">
        <v>61</v>
      </c>
      <c r="N28" s="11"/>
      <c r="O28" s="12"/>
      <c r="P28" s="12"/>
    </row>
    <row r="29" customFormat="false" ht="15" hidden="false" customHeight="false" outlineLevel="0" collapsed="false">
      <c r="A29" s="11" t="s">
        <v>210</v>
      </c>
      <c r="B29" s="11" t="s">
        <v>28</v>
      </c>
      <c r="C29" s="11" t="s">
        <v>211</v>
      </c>
      <c r="D29" s="11"/>
      <c r="E29" s="11" t="s">
        <v>143</v>
      </c>
      <c r="F29" s="11" t="s">
        <v>144</v>
      </c>
      <c r="G29" s="11" t="s">
        <v>202</v>
      </c>
      <c r="H29" s="11" t="s">
        <v>52</v>
      </c>
      <c r="I29" s="11" t="s">
        <v>212</v>
      </c>
      <c r="J29" s="11" t="s">
        <v>213</v>
      </c>
      <c r="K29" s="11" t="s">
        <v>72</v>
      </c>
      <c r="L29" s="11" t="s">
        <v>46</v>
      </c>
      <c r="M29" s="11" t="s">
        <v>61</v>
      </c>
      <c r="N29" s="11" t="s">
        <v>214</v>
      </c>
      <c r="O29" s="12"/>
      <c r="P29" s="12"/>
    </row>
    <row r="30" customFormat="false" ht="23.85" hidden="false" customHeight="false" outlineLevel="0" collapsed="false">
      <c r="A30" s="11" t="s">
        <v>215</v>
      </c>
      <c r="B30" s="11" t="s">
        <v>28</v>
      </c>
      <c r="C30" s="11" t="s">
        <v>216</v>
      </c>
      <c r="D30" s="11"/>
      <c r="E30" s="11" t="s">
        <v>143</v>
      </c>
      <c r="F30" s="11" t="s">
        <v>137</v>
      </c>
      <c r="G30" s="11" t="s">
        <v>202</v>
      </c>
      <c r="H30" s="11" t="s">
        <v>52</v>
      </c>
      <c r="I30" s="11" t="s">
        <v>217</v>
      </c>
      <c r="J30" s="11" t="s">
        <v>218</v>
      </c>
      <c r="K30" s="11" t="s">
        <v>72</v>
      </c>
      <c r="L30" s="11" t="s">
        <v>48</v>
      </c>
      <c r="M30" s="11" t="s">
        <v>61</v>
      </c>
      <c r="N30" s="11" t="s">
        <v>219</v>
      </c>
      <c r="O30" s="12"/>
      <c r="P30" s="12"/>
    </row>
    <row r="31" customFormat="false" ht="15" hidden="false" customHeight="false" outlineLevel="0" collapsed="false">
      <c r="A31" s="11" t="s">
        <v>220</v>
      </c>
      <c r="B31" s="11" t="s">
        <v>28</v>
      </c>
      <c r="C31" s="11" t="s">
        <v>221</v>
      </c>
      <c r="D31" s="11"/>
      <c r="E31" s="11" t="s">
        <v>143</v>
      </c>
      <c r="F31" s="11" t="s">
        <v>144</v>
      </c>
      <c r="G31" s="11" t="s">
        <v>222</v>
      </c>
      <c r="H31" s="11" t="s">
        <v>55</v>
      </c>
      <c r="I31" s="11" t="s">
        <v>223</v>
      </c>
      <c r="J31" s="11" t="s">
        <v>224</v>
      </c>
      <c r="K31" s="11" t="s">
        <v>70</v>
      </c>
      <c r="L31" s="11" t="s">
        <v>47</v>
      </c>
      <c r="M31" s="11" t="s">
        <v>63</v>
      </c>
      <c r="N31" s="11"/>
      <c r="O31" s="12"/>
      <c r="P31" s="12"/>
    </row>
    <row r="32" customFormat="false" ht="23.85" hidden="false" customHeight="false" outlineLevel="0" collapsed="false">
      <c r="A32" s="11" t="s">
        <v>225</v>
      </c>
      <c r="B32" s="11" t="s">
        <v>28</v>
      </c>
      <c r="C32" s="11" t="s">
        <v>226</v>
      </c>
      <c r="D32" s="11" t="s">
        <v>227</v>
      </c>
      <c r="E32" s="11" t="s">
        <v>228</v>
      </c>
      <c r="F32" s="11" t="s">
        <v>137</v>
      </c>
      <c r="G32" s="11" t="s">
        <v>222</v>
      </c>
      <c r="H32" s="11" t="s">
        <v>55</v>
      </c>
      <c r="I32" s="11" t="s">
        <v>223</v>
      </c>
      <c r="J32" s="11" t="s">
        <v>229</v>
      </c>
      <c r="K32" s="11" t="s">
        <v>70</v>
      </c>
      <c r="L32" s="11" t="s">
        <v>47</v>
      </c>
      <c r="M32" s="11" t="s">
        <v>63</v>
      </c>
      <c r="N32" s="11"/>
      <c r="O32" s="12"/>
      <c r="P32" s="12"/>
    </row>
    <row r="33" customFormat="false" ht="23.85" hidden="false" customHeight="false" outlineLevel="0" collapsed="false">
      <c r="A33" s="11" t="s">
        <v>230</v>
      </c>
      <c r="B33" s="11" t="s">
        <v>28</v>
      </c>
      <c r="C33" s="11" t="s">
        <v>231</v>
      </c>
      <c r="D33" s="11" t="s">
        <v>232</v>
      </c>
      <c r="E33" s="11" t="s">
        <v>233</v>
      </c>
      <c r="F33" s="11" t="s">
        <v>234</v>
      </c>
      <c r="G33" s="11" t="s">
        <v>235</v>
      </c>
      <c r="H33" s="11" t="s">
        <v>59</v>
      </c>
      <c r="I33" s="11" t="s">
        <v>236</v>
      </c>
      <c r="J33" s="11" t="s">
        <v>198</v>
      </c>
      <c r="K33" s="11" t="s">
        <v>70</v>
      </c>
      <c r="L33" s="11" t="s">
        <v>47</v>
      </c>
      <c r="M33" s="11" t="s">
        <v>64</v>
      </c>
      <c r="N33" s="11" t="s">
        <v>237</v>
      </c>
      <c r="O33" s="12"/>
      <c r="P33" s="12"/>
    </row>
    <row r="34" customFormat="false" ht="35.05" hidden="false" customHeight="false" outlineLevel="0" collapsed="false">
      <c r="A34" s="11" t="s">
        <v>238</v>
      </c>
      <c r="B34" s="11" t="s">
        <v>28</v>
      </c>
      <c r="C34" s="11" t="s">
        <v>239</v>
      </c>
      <c r="D34" s="11" t="s">
        <v>240</v>
      </c>
      <c r="E34" s="11" t="s">
        <v>233</v>
      </c>
      <c r="F34" s="11" t="s">
        <v>241</v>
      </c>
      <c r="G34" s="11" t="s">
        <v>242</v>
      </c>
      <c r="H34" s="11" t="s">
        <v>50</v>
      </c>
      <c r="I34" s="11" t="s">
        <v>243</v>
      </c>
      <c r="J34" s="11" t="s">
        <v>244</v>
      </c>
      <c r="K34" s="11" t="s">
        <v>72</v>
      </c>
      <c r="L34" s="11" t="s">
        <v>47</v>
      </c>
      <c r="M34" s="11" t="s">
        <v>62</v>
      </c>
      <c r="N34" s="11"/>
      <c r="O34" s="12"/>
      <c r="P34" s="12"/>
    </row>
    <row r="35" customFormat="false" ht="23.85" hidden="false" customHeight="false" outlineLevel="0" collapsed="false">
      <c r="A35" s="11" t="s">
        <v>245</v>
      </c>
      <c r="B35" s="11" t="s">
        <v>28</v>
      </c>
      <c r="C35" s="11" t="s">
        <v>246</v>
      </c>
      <c r="D35" s="11" t="s">
        <v>247</v>
      </c>
      <c r="E35" s="11" t="s">
        <v>248</v>
      </c>
      <c r="F35" s="11" t="s">
        <v>249</v>
      </c>
      <c r="G35" s="11" t="s">
        <v>250</v>
      </c>
      <c r="H35" s="11" t="s">
        <v>55</v>
      </c>
      <c r="I35" s="11" t="s">
        <v>251</v>
      </c>
      <c r="J35" s="11" t="s">
        <v>198</v>
      </c>
      <c r="K35" s="11" t="s">
        <v>70</v>
      </c>
      <c r="L35" s="11" t="s">
        <v>47</v>
      </c>
      <c r="M35" s="11" t="s">
        <v>63</v>
      </c>
      <c r="N35" s="11"/>
      <c r="O35" s="12"/>
      <c r="P35" s="12"/>
    </row>
    <row r="36" customFormat="false" ht="15" hidden="false" customHeight="false" outlineLevel="0" collapsed="false">
      <c r="A36" s="11" t="s">
        <v>252</v>
      </c>
      <c r="B36" s="11" t="s">
        <v>28</v>
      </c>
      <c r="C36" s="11" t="s">
        <v>253</v>
      </c>
      <c r="D36" s="11"/>
      <c r="E36" s="11" t="s">
        <v>233</v>
      </c>
      <c r="F36" s="11" t="s">
        <v>254</v>
      </c>
      <c r="G36" s="11" t="s">
        <v>255</v>
      </c>
      <c r="H36" s="11" t="s">
        <v>55</v>
      </c>
      <c r="I36" s="11" t="s">
        <v>256</v>
      </c>
      <c r="J36" s="11" t="s">
        <v>198</v>
      </c>
      <c r="K36" s="11" t="s">
        <v>70</v>
      </c>
      <c r="L36" s="11" t="s">
        <v>46</v>
      </c>
      <c r="M36" s="11" t="s">
        <v>63</v>
      </c>
      <c r="N36" s="11"/>
      <c r="O36" s="12"/>
      <c r="P36" s="12"/>
    </row>
    <row r="37" customFormat="false" ht="15" hidden="false" customHeight="false" outlineLevel="0" collapsed="false">
      <c r="A37" s="11" t="s">
        <v>257</v>
      </c>
      <c r="B37" s="11" t="s">
        <v>28</v>
      </c>
      <c r="C37" s="11" t="s">
        <v>258</v>
      </c>
      <c r="D37" s="11"/>
      <c r="E37" s="11" t="s">
        <v>233</v>
      </c>
      <c r="F37" s="11" t="s">
        <v>259</v>
      </c>
      <c r="G37" s="11" t="s">
        <v>260</v>
      </c>
      <c r="H37" s="11" t="s">
        <v>59</v>
      </c>
      <c r="I37" s="11" t="s">
        <v>261</v>
      </c>
      <c r="J37" s="11" t="s">
        <v>262</v>
      </c>
      <c r="K37" s="11" t="s">
        <v>70</v>
      </c>
      <c r="L37" s="11" t="s">
        <v>48</v>
      </c>
      <c r="M37" s="11" t="s">
        <v>64</v>
      </c>
      <c r="N37" s="11" t="s">
        <v>263</v>
      </c>
      <c r="O37" s="12"/>
      <c r="P37" s="12"/>
    </row>
    <row r="38" customFormat="false" ht="23.85" hidden="false" customHeight="false" outlineLevel="0" collapsed="false">
      <c r="A38" s="11" t="s">
        <v>264</v>
      </c>
      <c r="B38" s="11" t="s">
        <v>29</v>
      </c>
      <c r="C38" s="11" t="s">
        <v>265</v>
      </c>
      <c r="D38" s="11"/>
      <c r="E38" s="11" t="s">
        <v>143</v>
      </c>
      <c r="F38" s="11" t="s">
        <v>144</v>
      </c>
      <c r="G38" s="11" t="s">
        <v>90</v>
      </c>
      <c r="H38" s="11" t="s">
        <v>52</v>
      </c>
      <c r="I38" s="11" t="s">
        <v>266</v>
      </c>
      <c r="J38" s="11" t="s">
        <v>267</v>
      </c>
      <c r="K38" s="11" t="s">
        <v>72</v>
      </c>
      <c r="L38" s="11" t="s">
        <v>46</v>
      </c>
      <c r="M38" s="11" t="s">
        <v>61</v>
      </c>
      <c r="N38" s="11"/>
      <c r="O38" s="12"/>
      <c r="P38" s="12"/>
    </row>
    <row r="39" customFormat="false" ht="15" hidden="false" customHeight="false" outlineLevel="0" collapsed="false">
      <c r="A39" s="11" t="s">
        <v>268</v>
      </c>
      <c r="B39" s="11" t="s">
        <v>29</v>
      </c>
      <c r="C39" s="11" t="s">
        <v>269</v>
      </c>
      <c r="D39" s="11" t="s">
        <v>270</v>
      </c>
      <c r="E39" s="11" t="s">
        <v>143</v>
      </c>
      <c r="F39" s="11" t="s">
        <v>144</v>
      </c>
      <c r="G39" s="11" t="s">
        <v>90</v>
      </c>
      <c r="H39" s="11" t="s">
        <v>52</v>
      </c>
      <c r="I39" s="11" t="s">
        <v>271</v>
      </c>
      <c r="J39" s="11" t="s">
        <v>272</v>
      </c>
      <c r="K39" s="11" t="s">
        <v>72</v>
      </c>
      <c r="L39" s="11" t="s">
        <v>46</v>
      </c>
      <c r="M39" s="11" t="s">
        <v>61</v>
      </c>
      <c r="N39" s="11"/>
      <c r="O39" s="12"/>
      <c r="P39" s="12"/>
    </row>
    <row r="40" customFormat="false" ht="35.05" hidden="false" customHeight="false" outlineLevel="0" collapsed="false">
      <c r="A40" s="11" t="s">
        <v>273</v>
      </c>
      <c r="B40" s="11" t="s">
        <v>29</v>
      </c>
      <c r="C40" s="11" t="s">
        <v>274</v>
      </c>
      <c r="D40" s="11" t="s">
        <v>275</v>
      </c>
      <c r="E40" s="11" t="s">
        <v>143</v>
      </c>
      <c r="F40" s="11" t="s">
        <v>144</v>
      </c>
      <c r="G40" s="11" t="s">
        <v>90</v>
      </c>
      <c r="H40" s="11" t="s">
        <v>52</v>
      </c>
      <c r="I40" s="11" t="s">
        <v>271</v>
      </c>
      <c r="J40" s="11" t="s">
        <v>272</v>
      </c>
      <c r="K40" s="11" t="s">
        <v>72</v>
      </c>
      <c r="L40" s="11" t="s">
        <v>46</v>
      </c>
      <c r="M40" s="11" t="s">
        <v>61</v>
      </c>
      <c r="N40" s="11"/>
      <c r="O40" s="12"/>
      <c r="P40" s="12"/>
    </row>
    <row r="41" customFormat="false" ht="15" hidden="false" customHeight="false" outlineLevel="0" collapsed="false">
      <c r="A41" s="11" t="s">
        <v>276</v>
      </c>
      <c r="B41" s="11" t="s">
        <v>29</v>
      </c>
      <c r="C41" s="11" t="s">
        <v>277</v>
      </c>
      <c r="D41" s="11" t="s">
        <v>278</v>
      </c>
      <c r="E41" s="11" t="s">
        <v>143</v>
      </c>
      <c r="F41" s="11" t="s">
        <v>137</v>
      </c>
      <c r="G41" s="11" t="s">
        <v>90</v>
      </c>
      <c r="H41" s="11" t="s">
        <v>52</v>
      </c>
      <c r="I41" s="11" t="s">
        <v>271</v>
      </c>
      <c r="J41" s="11" t="s">
        <v>272</v>
      </c>
      <c r="K41" s="11" t="s">
        <v>72</v>
      </c>
      <c r="L41" s="11" t="s">
        <v>47</v>
      </c>
      <c r="M41" s="11" t="s">
        <v>61</v>
      </c>
      <c r="N41" s="11"/>
      <c r="O41" s="12"/>
      <c r="P41" s="12"/>
    </row>
    <row r="42" customFormat="false" ht="23.85" hidden="false" customHeight="false" outlineLevel="0" collapsed="false">
      <c r="A42" s="11" t="s">
        <v>279</v>
      </c>
      <c r="B42" s="11" t="s">
        <v>29</v>
      </c>
      <c r="C42" s="11" t="s">
        <v>280</v>
      </c>
      <c r="D42" s="11" t="s">
        <v>281</v>
      </c>
      <c r="E42" s="11" t="s">
        <v>143</v>
      </c>
      <c r="F42" s="11" t="s">
        <v>137</v>
      </c>
      <c r="G42" s="11" t="s">
        <v>90</v>
      </c>
      <c r="H42" s="11" t="s">
        <v>52</v>
      </c>
      <c r="I42" s="11" t="s">
        <v>282</v>
      </c>
      <c r="J42" s="11" t="s">
        <v>283</v>
      </c>
      <c r="K42" s="11" t="s">
        <v>72</v>
      </c>
      <c r="L42" s="11" t="s">
        <v>46</v>
      </c>
      <c r="M42" s="11" t="s">
        <v>61</v>
      </c>
      <c r="N42" s="11"/>
      <c r="O42" s="12"/>
      <c r="P42" s="12"/>
    </row>
    <row r="43" customFormat="false" ht="23.85" hidden="false" customHeight="false" outlineLevel="0" collapsed="false">
      <c r="A43" s="11" t="s">
        <v>284</v>
      </c>
      <c r="B43" s="11" t="s">
        <v>29</v>
      </c>
      <c r="C43" s="11" t="s">
        <v>285</v>
      </c>
      <c r="D43" s="11"/>
      <c r="E43" s="11" t="s">
        <v>143</v>
      </c>
      <c r="F43" s="11" t="s">
        <v>137</v>
      </c>
      <c r="G43" s="11" t="s">
        <v>90</v>
      </c>
      <c r="H43" s="11" t="s">
        <v>52</v>
      </c>
      <c r="I43" s="11" t="s">
        <v>286</v>
      </c>
      <c r="J43" s="11" t="s">
        <v>287</v>
      </c>
      <c r="K43" s="11" t="s">
        <v>72</v>
      </c>
      <c r="L43" s="11" t="s">
        <v>48</v>
      </c>
      <c r="M43" s="11" t="s">
        <v>61</v>
      </c>
      <c r="N43" s="11" t="s">
        <v>219</v>
      </c>
      <c r="O43" s="12"/>
      <c r="P43" s="12"/>
    </row>
    <row r="44" customFormat="false" ht="23.85" hidden="false" customHeight="false" outlineLevel="0" collapsed="false">
      <c r="A44" s="11" t="s">
        <v>288</v>
      </c>
      <c r="B44" s="11" t="s">
        <v>29</v>
      </c>
      <c r="C44" s="11" t="s">
        <v>289</v>
      </c>
      <c r="D44" s="11" t="s">
        <v>290</v>
      </c>
      <c r="E44" s="11" t="s">
        <v>143</v>
      </c>
      <c r="F44" s="11" t="s">
        <v>144</v>
      </c>
      <c r="G44" s="11" t="s">
        <v>222</v>
      </c>
      <c r="H44" s="11" t="s">
        <v>55</v>
      </c>
      <c r="I44" s="11" t="s">
        <v>223</v>
      </c>
      <c r="J44" s="11" t="s">
        <v>198</v>
      </c>
      <c r="K44" s="11" t="s">
        <v>70</v>
      </c>
      <c r="L44" s="11" t="s">
        <v>46</v>
      </c>
      <c r="M44" s="11" t="s">
        <v>63</v>
      </c>
      <c r="N44" s="11" t="s">
        <v>291</v>
      </c>
      <c r="O44" s="12"/>
      <c r="P44" s="12"/>
    </row>
    <row r="45" customFormat="false" ht="23.85" hidden="false" customHeight="false" outlineLevel="0" collapsed="false">
      <c r="A45" s="11" t="s">
        <v>292</v>
      </c>
      <c r="B45" s="11" t="s">
        <v>29</v>
      </c>
      <c r="C45" s="11" t="s">
        <v>293</v>
      </c>
      <c r="D45" s="11" t="s">
        <v>294</v>
      </c>
      <c r="E45" s="11" t="s">
        <v>295</v>
      </c>
      <c r="F45" s="11" t="s">
        <v>137</v>
      </c>
      <c r="G45" s="11" t="s">
        <v>90</v>
      </c>
      <c r="H45" s="11" t="s">
        <v>52</v>
      </c>
      <c r="I45" s="11" t="s">
        <v>296</v>
      </c>
      <c r="J45" s="11" t="s">
        <v>297</v>
      </c>
      <c r="K45" s="11" t="s">
        <v>72</v>
      </c>
      <c r="L45" s="11" t="s">
        <v>47</v>
      </c>
      <c r="M45" s="11" t="s">
        <v>61</v>
      </c>
      <c r="N45" s="11"/>
      <c r="O45" s="12"/>
      <c r="P45" s="12"/>
    </row>
    <row r="46" customFormat="false" ht="23.85" hidden="false" customHeight="false" outlineLevel="0" collapsed="false">
      <c r="A46" s="11" t="s">
        <v>298</v>
      </c>
      <c r="B46" s="11" t="s">
        <v>29</v>
      </c>
      <c r="C46" s="11" t="s">
        <v>299</v>
      </c>
      <c r="D46" s="11" t="s">
        <v>300</v>
      </c>
      <c r="E46" s="11" t="s">
        <v>102</v>
      </c>
      <c r="F46" s="11" t="s">
        <v>301</v>
      </c>
      <c r="G46" s="11" t="s">
        <v>90</v>
      </c>
      <c r="H46" s="11" t="s">
        <v>52</v>
      </c>
      <c r="I46" s="11" t="s">
        <v>302</v>
      </c>
      <c r="J46" s="11" t="s">
        <v>303</v>
      </c>
      <c r="K46" s="11" t="s">
        <v>72</v>
      </c>
      <c r="L46" s="11" t="s">
        <v>47</v>
      </c>
      <c r="M46" s="11" t="s">
        <v>61</v>
      </c>
      <c r="N46" s="11"/>
      <c r="O46" s="12"/>
      <c r="P46" s="12"/>
    </row>
    <row r="47" customFormat="false" ht="23.85" hidden="false" customHeight="false" outlineLevel="0" collapsed="false">
      <c r="A47" s="11" t="s">
        <v>304</v>
      </c>
      <c r="B47" s="11" t="s">
        <v>29</v>
      </c>
      <c r="C47" s="11" t="s">
        <v>305</v>
      </c>
      <c r="D47" s="11" t="s">
        <v>306</v>
      </c>
      <c r="E47" s="11" t="s">
        <v>307</v>
      </c>
      <c r="F47" s="11" t="s">
        <v>308</v>
      </c>
      <c r="G47" s="11" t="s">
        <v>90</v>
      </c>
      <c r="H47" s="11" t="s">
        <v>52</v>
      </c>
      <c r="I47" s="11" t="s">
        <v>309</v>
      </c>
      <c r="J47" s="11" t="s">
        <v>310</v>
      </c>
      <c r="K47" s="11" t="s">
        <v>69</v>
      </c>
      <c r="L47" s="11" t="s">
        <v>48</v>
      </c>
      <c r="M47" s="11" t="s">
        <v>61</v>
      </c>
      <c r="N47" s="11"/>
      <c r="O47" s="12"/>
      <c r="P47" s="12"/>
    </row>
    <row r="48" customFormat="false" ht="15" hidden="false" customHeight="false" outlineLevel="0" collapsed="false">
      <c r="A48" s="11" t="s">
        <v>311</v>
      </c>
      <c r="B48" s="11" t="s">
        <v>29</v>
      </c>
      <c r="C48" s="11" t="s">
        <v>312</v>
      </c>
      <c r="D48" s="11"/>
      <c r="E48" s="11" t="s">
        <v>143</v>
      </c>
      <c r="F48" s="11" t="s">
        <v>313</v>
      </c>
      <c r="G48" s="11" t="s">
        <v>314</v>
      </c>
      <c r="H48" s="11" t="s">
        <v>58</v>
      </c>
      <c r="I48" s="11" t="s">
        <v>315</v>
      </c>
      <c r="J48" s="11" t="s">
        <v>316</v>
      </c>
      <c r="K48" s="11" t="s">
        <v>70</v>
      </c>
      <c r="L48" s="11" t="s">
        <v>47</v>
      </c>
      <c r="M48" s="11" t="s">
        <v>65</v>
      </c>
      <c r="N48" s="11" t="s">
        <v>317</v>
      </c>
      <c r="O48" s="12"/>
      <c r="P48" s="12"/>
    </row>
    <row r="49" customFormat="false" ht="23.85" hidden="false" customHeight="false" outlineLevel="0" collapsed="false">
      <c r="A49" s="11" t="s">
        <v>318</v>
      </c>
      <c r="B49" s="11" t="s">
        <v>29</v>
      </c>
      <c r="C49" s="11" t="s">
        <v>319</v>
      </c>
      <c r="D49" s="11" t="s">
        <v>320</v>
      </c>
      <c r="E49" s="11" t="s">
        <v>248</v>
      </c>
      <c r="F49" s="11" t="s">
        <v>321</v>
      </c>
      <c r="G49" s="11" t="s">
        <v>322</v>
      </c>
      <c r="H49" s="11" t="s">
        <v>59</v>
      </c>
      <c r="I49" s="11" t="s">
        <v>323</v>
      </c>
      <c r="J49" s="11" t="s">
        <v>198</v>
      </c>
      <c r="K49" s="11" t="s">
        <v>70</v>
      </c>
      <c r="L49" s="11" t="s">
        <v>46</v>
      </c>
      <c r="M49" s="11" t="s">
        <v>64</v>
      </c>
      <c r="N49" s="11" t="s">
        <v>324</v>
      </c>
      <c r="O49" s="12"/>
      <c r="P49" s="12"/>
    </row>
    <row r="50" customFormat="false" ht="23.85" hidden="false" customHeight="false" outlineLevel="0" collapsed="false">
      <c r="A50" s="11" t="s">
        <v>325</v>
      </c>
      <c r="B50" s="11" t="s">
        <v>29</v>
      </c>
      <c r="C50" s="11" t="s">
        <v>326</v>
      </c>
      <c r="D50" s="11" t="s">
        <v>327</v>
      </c>
      <c r="E50" s="11" t="s">
        <v>143</v>
      </c>
      <c r="F50" s="11" t="s">
        <v>328</v>
      </c>
      <c r="G50" s="11" t="s">
        <v>329</v>
      </c>
      <c r="H50" s="11" t="s">
        <v>59</v>
      </c>
      <c r="I50" s="11" t="s">
        <v>330</v>
      </c>
      <c r="J50" s="11" t="s">
        <v>262</v>
      </c>
      <c r="K50" s="11" t="s">
        <v>70</v>
      </c>
      <c r="L50" s="11" t="s">
        <v>47</v>
      </c>
      <c r="M50" s="11" t="s">
        <v>64</v>
      </c>
      <c r="N50" s="11"/>
      <c r="O50" s="12"/>
      <c r="P50" s="12"/>
    </row>
    <row r="51" customFormat="false" ht="15" hidden="false" customHeight="false" outlineLevel="0" collapsed="false">
      <c r="A51" s="11" t="s">
        <v>331</v>
      </c>
      <c r="B51" s="11" t="s">
        <v>29</v>
      </c>
      <c r="C51" s="11" t="s">
        <v>332</v>
      </c>
      <c r="D51" s="11"/>
      <c r="E51" s="11" t="s">
        <v>143</v>
      </c>
      <c r="F51" s="11" t="s">
        <v>328</v>
      </c>
      <c r="G51" s="11" t="s">
        <v>333</v>
      </c>
      <c r="H51" s="11" t="s">
        <v>59</v>
      </c>
      <c r="I51" s="11" t="s">
        <v>334</v>
      </c>
      <c r="J51" s="11" t="s">
        <v>262</v>
      </c>
      <c r="K51" s="11" t="s">
        <v>70</v>
      </c>
      <c r="L51" s="11" t="s">
        <v>48</v>
      </c>
      <c r="M51" s="11" t="s">
        <v>64</v>
      </c>
      <c r="N51" s="11" t="s">
        <v>335</v>
      </c>
      <c r="O51" s="12"/>
      <c r="P51" s="12"/>
    </row>
    <row r="52" customFormat="false" ht="15" hidden="false" customHeight="false" outlineLevel="0" collapsed="false">
      <c r="A52" s="11" t="s">
        <v>336</v>
      </c>
      <c r="B52" s="11" t="s">
        <v>29</v>
      </c>
      <c r="C52" s="11" t="s">
        <v>337</v>
      </c>
      <c r="D52" s="11" t="s">
        <v>338</v>
      </c>
      <c r="E52" s="11" t="s">
        <v>143</v>
      </c>
      <c r="F52" s="11" t="s">
        <v>339</v>
      </c>
      <c r="G52" s="11" t="s">
        <v>340</v>
      </c>
      <c r="H52" s="11" t="s">
        <v>57</v>
      </c>
      <c r="I52" s="11" t="s">
        <v>341</v>
      </c>
      <c r="J52" s="11" t="s">
        <v>262</v>
      </c>
      <c r="K52" s="11" t="s">
        <v>70</v>
      </c>
      <c r="L52" s="11" t="s">
        <v>47</v>
      </c>
      <c r="M52" s="11" t="s">
        <v>64</v>
      </c>
      <c r="N52" s="11"/>
      <c r="O52" s="12"/>
      <c r="P52" s="12"/>
    </row>
    <row r="53" customFormat="false" ht="15" hidden="false" customHeight="false" outlineLevel="0" collapsed="false">
      <c r="A53" s="11" t="s">
        <v>342</v>
      </c>
      <c r="B53" s="11" t="s">
        <v>29</v>
      </c>
      <c r="C53" s="11" t="s">
        <v>343</v>
      </c>
      <c r="D53" s="11" t="s">
        <v>344</v>
      </c>
      <c r="E53" s="11" t="s">
        <v>143</v>
      </c>
      <c r="F53" s="11" t="s">
        <v>339</v>
      </c>
      <c r="G53" s="11" t="s">
        <v>345</v>
      </c>
      <c r="H53" s="11" t="s">
        <v>57</v>
      </c>
      <c r="I53" s="11" t="s">
        <v>346</v>
      </c>
      <c r="J53" s="11" t="s">
        <v>262</v>
      </c>
      <c r="K53" s="11" t="s">
        <v>70</v>
      </c>
      <c r="L53" s="11" t="s">
        <v>47</v>
      </c>
      <c r="M53" s="11" t="s">
        <v>64</v>
      </c>
      <c r="N53" s="11"/>
      <c r="O53" s="12"/>
      <c r="P53" s="12"/>
    </row>
    <row r="54" customFormat="false" ht="15" hidden="false" customHeight="false" outlineLevel="0" collapsed="false">
      <c r="A54" s="11" t="s">
        <v>347</v>
      </c>
      <c r="B54" s="11" t="s">
        <v>29</v>
      </c>
      <c r="C54" s="11" t="s">
        <v>348</v>
      </c>
      <c r="D54" s="11" t="s">
        <v>349</v>
      </c>
      <c r="E54" s="11" t="s">
        <v>143</v>
      </c>
      <c r="F54" s="11" t="s">
        <v>350</v>
      </c>
      <c r="G54" s="11" t="s">
        <v>351</v>
      </c>
      <c r="H54" s="11" t="s">
        <v>55</v>
      </c>
      <c r="I54" s="11" t="s">
        <v>352</v>
      </c>
      <c r="J54" s="11" t="s">
        <v>262</v>
      </c>
      <c r="K54" s="11" t="s">
        <v>70</v>
      </c>
      <c r="L54" s="11" t="s">
        <v>48</v>
      </c>
      <c r="M54" s="11" t="s">
        <v>63</v>
      </c>
      <c r="N54" s="11"/>
      <c r="O54" s="12"/>
      <c r="P54" s="12"/>
    </row>
    <row r="55" customFormat="false" ht="23.85" hidden="false" customHeight="false" outlineLevel="0" collapsed="false">
      <c r="A55" s="11" t="s">
        <v>353</v>
      </c>
      <c r="B55" s="11" t="s">
        <v>30</v>
      </c>
      <c r="C55" s="11" t="s">
        <v>354</v>
      </c>
      <c r="D55" s="11" t="s">
        <v>355</v>
      </c>
      <c r="E55" s="11" t="s">
        <v>143</v>
      </c>
      <c r="F55" s="11" t="s">
        <v>356</v>
      </c>
      <c r="G55" s="11" t="s">
        <v>357</v>
      </c>
      <c r="H55" s="11" t="s">
        <v>59</v>
      </c>
      <c r="I55" s="11" t="s">
        <v>358</v>
      </c>
      <c r="J55" s="11" t="s">
        <v>262</v>
      </c>
      <c r="K55" s="11" t="s">
        <v>70</v>
      </c>
      <c r="L55" s="11" t="s">
        <v>46</v>
      </c>
      <c r="M55" s="11" t="s">
        <v>64</v>
      </c>
      <c r="N55" s="11" t="s">
        <v>359</v>
      </c>
      <c r="O55" s="12"/>
      <c r="P55" s="12"/>
    </row>
    <row r="56" customFormat="false" ht="23.85" hidden="false" customHeight="false" outlineLevel="0" collapsed="false">
      <c r="A56" s="11" t="s">
        <v>360</v>
      </c>
      <c r="B56" s="11" t="s">
        <v>30</v>
      </c>
      <c r="C56" s="11" t="s">
        <v>361</v>
      </c>
      <c r="D56" s="11" t="s">
        <v>362</v>
      </c>
      <c r="E56" s="11" t="s">
        <v>363</v>
      </c>
      <c r="F56" s="11" t="s">
        <v>364</v>
      </c>
      <c r="G56" s="11" t="s">
        <v>365</v>
      </c>
      <c r="H56" s="11" t="s">
        <v>59</v>
      </c>
      <c r="I56" s="11" t="s">
        <v>366</v>
      </c>
      <c r="J56" s="11" t="s">
        <v>367</v>
      </c>
      <c r="K56" s="11" t="s">
        <v>70</v>
      </c>
      <c r="L56" s="11" t="s">
        <v>46</v>
      </c>
      <c r="M56" s="11" t="s">
        <v>64</v>
      </c>
      <c r="N56" s="11"/>
      <c r="O56" s="12"/>
      <c r="P56" s="12"/>
    </row>
    <row r="57" customFormat="false" ht="23.85" hidden="false" customHeight="false" outlineLevel="0" collapsed="false">
      <c r="A57" s="11" t="s">
        <v>368</v>
      </c>
      <c r="B57" s="11" t="s">
        <v>30</v>
      </c>
      <c r="C57" s="11" t="s">
        <v>369</v>
      </c>
      <c r="D57" s="11" t="s">
        <v>362</v>
      </c>
      <c r="E57" s="11" t="s">
        <v>143</v>
      </c>
      <c r="F57" s="11" t="s">
        <v>308</v>
      </c>
      <c r="G57" s="11" t="s">
        <v>370</v>
      </c>
      <c r="H57" s="11" t="s">
        <v>55</v>
      </c>
      <c r="I57" s="11" t="s">
        <v>371</v>
      </c>
      <c r="J57" s="11" t="s">
        <v>262</v>
      </c>
      <c r="K57" s="11" t="s">
        <v>70</v>
      </c>
      <c r="L57" s="11" t="s">
        <v>47</v>
      </c>
      <c r="M57" s="11" t="s">
        <v>63</v>
      </c>
      <c r="N57" s="11"/>
      <c r="O57" s="12"/>
      <c r="P57" s="12"/>
    </row>
    <row r="58" customFormat="false" ht="23.85" hidden="false" customHeight="false" outlineLevel="0" collapsed="false">
      <c r="A58" s="11" t="s">
        <v>372</v>
      </c>
      <c r="B58" s="11" t="s">
        <v>30</v>
      </c>
      <c r="C58" s="11" t="s">
        <v>373</v>
      </c>
      <c r="D58" s="11" t="s">
        <v>374</v>
      </c>
      <c r="E58" s="11" t="s">
        <v>143</v>
      </c>
      <c r="F58" s="11" t="s">
        <v>375</v>
      </c>
      <c r="G58" s="11" t="s">
        <v>376</v>
      </c>
      <c r="H58" s="11" t="s">
        <v>55</v>
      </c>
      <c r="I58" s="11" t="s">
        <v>377</v>
      </c>
      <c r="J58" s="11" t="s">
        <v>262</v>
      </c>
      <c r="K58" s="11" t="s">
        <v>70</v>
      </c>
      <c r="L58" s="11" t="s">
        <v>47</v>
      </c>
      <c r="M58" s="11" t="s">
        <v>63</v>
      </c>
      <c r="N58" s="11"/>
      <c r="O58" s="12"/>
      <c r="P58" s="12"/>
    </row>
    <row r="59" customFormat="false" ht="23.85" hidden="false" customHeight="false" outlineLevel="0" collapsed="false">
      <c r="A59" s="11" t="s">
        <v>378</v>
      </c>
      <c r="B59" s="11" t="s">
        <v>30</v>
      </c>
      <c r="C59" s="11" t="s">
        <v>379</v>
      </c>
      <c r="D59" s="11" t="s">
        <v>362</v>
      </c>
      <c r="E59" s="11" t="s">
        <v>143</v>
      </c>
      <c r="F59" s="11" t="s">
        <v>308</v>
      </c>
      <c r="G59" s="11" t="s">
        <v>365</v>
      </c>
      <c r="H59" s="11" t="s">
        <v>59</v>
      </c>
      <c r="I59" s="11" t="s">
        <v>380</v>
      </c>
      <c r="J59" s="11" t="s">
        <v>262</v>
      </c>
      <c r="K59" s="11" t="s">
        <v>70</v>
      </c>
      <c r="L59" s="11" t="s">
        <v>47</v>
      </c>
      <c r="M59" s="11" t="s">
        <v>64</v>
      </c>
      <c r="N59" s="11" t="s">
        <v>381</v>
      </c>
      <c r="O59" s="12"/>
      <c r="P59" s="12"/>
    </row>
    <row r="60" customFormat="false" ht="23.85" hidden="false" customHeight="false" outlineLevel="0" collapsed="false">
      <c r="A60" s="11" t="s">
        <v>382</v>
      </c>
      <c r="B60" s="11" t="s">
        <v>30</v>
      </c>
      <c r="C60" s="11" t="s">
        <v>383</v>
      </c>
      <c r="D60" s="11" t="s">
        <v>384</v>
      </c>
      <c r="E60" s="11" t="s">
        <v>143</v>
      </c>
      <c r="F60" s="11" t="s">
        <v>385</v>
      </c>
      <c r="G60" s="11" t="s">
        <v>386</v>
      </c>
      <c r="H60" s="11" t="s">
        <v>57</v>
      </c>
      <c r="I60" s="11" t="s">
        <v>387</v>
      </c>
      <c r="J60" s="11" t="s">
        <v>262</v>
      </c>
      <c r="K60" s="11" t="s">
        <v>70</v>
      </c>
      <c r="L60" s="11" t="s">
        <v>46</v>
      </c>
      <c r="M60" s="11" t="s">
        <v>64</v>
      </c>
      <c r="N60" s="11"/>
      <c r="O60" s="12"/>
      <c r="P60" s="12"/>
    </row>
    <row r="61" customFormat="false" ht="23.85" hidden="false" customHeight="false" outlineLevel="0" collapsed="false">
      <c r="A61" s="11" t="s">
        <v>388</v>
      </c>
      <c r="B61" s="11" t="s">
        <v>30</v>
      </c>
      <c r="C61" s="11" t="s">
        <v>389</v>
      </c>
      <c r="D61" s="11" t="s">
        <v>390</v>
      </c>
      <c r="E61" s="11" t="s">
        <v>143</v>
      </c>
      <c r="F61" s="11" t="s">
        <v>339</v>
      </c>
      <c r="G61" s="11" t="s">
        <v>391</v>
      </c>
      <c r="H61" s="11" t="s">
        <v>55</v>
      </c>
      <c r="I61" s="11" t="s">
        <v>392</v>
      </c>
      <c r="J61" s="11" t="s">
        <v>262</v>
      </c>
      <c r="K61" s="11" t="s">
        <v>70</v>
      </c>
      <c r="L61" s="11" t="s">
        <v>47</v>
      </c>
      <c r="M61" s="11" t="s">
        <v>63</v>
      </c>
      <c r="N61" s="11"/>
      <c r="O61" s="12"/>
      <c r="P61" s="12"/>
    </row>
    <row r="62" customFormat="false" ht="23.85" hidden="false" customHeight="false" outlineLevel="0" collapsed="false">
      <c r="A62" s="11" t="s">
        <v>393</v>
      </c>
      <c r="B62" s="11" t="s">
        <v>30</v>
      </c>
      <c r="C62" s="11" t="s">
        <v>394</v>
      </c>
      <c r="D62" s="11" t="s">
        <v>395</v>
      </c>
      <c r="E62" s="11" t="s">
        <v>143</v>
      </c>
      <c r="F62" s="11" t="s">
        <v>396</v>
      </c>
      <c r="G62" s="11" t="s">
        <v>397</v>
      </c>
      <c r="H62" s="11" t="s">
        <v>57</v>
      </c>
      <c r="I62" s="11" t="s">
        <v>398</v>
      </c>
      <c r="J62" s="11" t="s">
        <v>262</v>
      </c>
      <c r="K62" s="11" t="s">
        <v>70</v>
      </c>
      <c r="L62" s="11" t="s">
        <v>46</v>
      </c>
      <c r="M62" s="11" t="s">
        <v>64</v>
      </c>
      <c r="N62" s="11"/>
      <c r="O62" s="12"/>
      <c r="P62" s="12"/>
    </row>
    <row r="63" customFormat="false" ht="23.85" hidden="false" customHeight="false" outlineLevel="0" collapsed="false">
      <c r="A63" s="11" t="s">
        <v>399</v>
      </c>
      <c r="B63" s="11" t="s">
        <v>30</v>
      </c>
      <c r="C63" s="11" t="s">
        <v>400</v>
      </c>
      <c r="D63" s="11" t="s">
        <v>401</v>
      </c>
      <c r="E63" s="11" t="s">
        <v>143</v>
      </c>
      <c r="F63" s="11" t="s">
        <v>402</v>
      </c>
      <c r="G63" s="11" t="s">
        <v>403</v>
      </c>
      <c r="H63" s="11" t="s">
        <v>55</v>
      </c>
      <c r="I63" s="11" t="s">
        <v>404</v>
      </c>
      <c r="J63" s="11" t="s">
        <v>262</v>
      </c>
      <c r="K63" s="11" t="s">
        <v>70</v>
      </c>
      <c r="L63" s="11" t="s">
        <v>48</v>
      </c>
      <c r="M63" s="11" t="s">
        <v>63</v>
      </c>
      <c r="N63" s="11"/>
      <c r="O63" s="12"/>
      <c r="P63" s="12"/>
    </row>
    <row r="64" customFormat="false" ht="23.85" hidden="false" customHeight="false" outlineLevel="0" collapsed="false">
      <c r="A64" s="11" t="s">
        <v>405</v>
      </c>
      <c r="B64" s="11" t="s">
        <v>30</v>
      </c>
      <c r="C64" s="11" t="s">
        <v>406</v>
      </c>
      <c r="D64" s="11"/>
      <c r="E64" s="11" t="s">
        <v>143</v>
      </c>
      <c r="F64" s="11" t="s">
        <v>407</v>
      </c>
      <c r="G64" s="11" t="s">
        <v>408</v>
      </c>
      <c r="H64" s="11" t="s">
        <v>57</v>
      </c>
      <c r="I64" s="11" t="s">
        <v>409</v>
      </c>
      <c r="J64" s="11" t="s">
        <v>262</v>
      </c>
      <c r="K64" s="11" t="s">
        <v>70</v>
      </c>
      <c r="L64" s="11" t="s">
        <v>48</v>
      </c>
      <c r="M64" s="11" t="s">
        <v>64</v>
      </c>
      <c r="N64" s="11"/>
      <c r="O64" s="12"/>
      <c r="P64" s="12"/>
    </row>
    <row r="65" customFormat="false" ht="23.85" hidden="false" customHeight="false" outlineLevel="0" collapsed="false">
      <c r="A65" s="11" t="s">
        <v>410</v>
      </c>
      <c r="B65" s="11" t="s">
        <v>30</v>
      </c>
      <c r="C65" s="11" t="s">
        <v>411</v>
      </c>
      <c r="D65" s="11" t="s">
        <v>412</v>
      </c>
      <c r="E65" s="11" t="s">
        <v>143</v>
      </c>
      <c r="F65" s="11" t="s">
        <v>413</v>
      </c>
      <c r="G65" s="11" t="s">
        <v>414</v>
      </c>
      <c r="H65" s="11" t="s">
        <v>57</v>
      </c>
      <c r="I65" s="11" t="s">
        <v>415</v>
      </c>
      <c r="J65" s="11" t="s">
        <v>262</v>
      </c>
      <c r="K65" s="11" t="s">
        <v>70</v>
      </c>
      <c r="L65" s="11" t="s">
        <v>48</v>
      </c>
      <c r="M65" s="11" t="s">
        <v>64</v>
      </c>
      <c r="N65" s="11"/>
      <c r="O65" s="12"/>
      <c r="P65" s="12"/>
    </row>
    <row r="66" customFormat="false" ht="23.85" hidden="false" customHeight="false" outlineLevel="0" collapsed="false">
      <c r="A66" s="11" t="s">
        <v>416</v>
      </c>
      <c r="B66" s="11" t="s">
        <v>31</v>
      </c>
      <c r="C66" s="11" t="s">
        <v>417</v>
      </c>
      <c r="D66" s="11" t="s">
        <v>418</v>
      </c>
      <c r="E66" s="11" t="s">
        <v>419</v>
      </c>
      <c r="F66" s="11" t="s">
        <v>420</v>
      </c>
      <c r="G66" s="11" t="s">
        <v>90</v>
      </c>
      <c r="H66" s="11" t="s">
        <v>52</v>
      </c>
      <c r="I66" s="11" t="s">
        <v>421</v>
      </c>
      <c r="J66" s="11" t="s">
        <v>422</v>
      </c>
      <c r="K66" s="11" t="s">
        <v>72</v>
      </c>
      <c r="L66" s="11" t="s">
        <v>46</v>
      </c>
      <c r="M66" s="11" t="s">
        <v>61</v>
      </c>
      <c r="N66" s="11" t="s">
        <v>423</v>
      </c>
      <c r="O66" s="12"/>
      <c r="P66" s="12"/>
    </row>
    <row r="67" customFormat="false" ht="23.85" hidden="false" customHeight="false" outlineLevel="0" collapsed="false">
      <c r="A67" s="11" t="s">
        <v>424</v>
      </c>
      <c r="B67" s="11" t="s">
        <v>31</v>
      </c>
      <c r="C67" s="11" t="s">
        <v>425</v>
      </c>
      <c r="D67" s="11" t="s">
        <v>272</v>
      </c>
      <c r="E67" s="11" t="s">
        <v>419</v>
      </c>
      <c r="F67" s="11" t="s">
        <v>420</v>
      </c>
      <c r="G67" s="11" t="s">
        <v>90</v>
      </c>
      <c r="H67" s="11" t="s">
        <v>52</v>
      </c>
      <c r="I67" s="11" t="s">
        <v>426</v>
      </c>
      <c r="J67" s="11" t="s">
        <v>422</v>
      </c>
      <c r="K67" s="11" t="s">
        <v>72</v>
      </c>
      <c r="L67" s="11" t="s">
        <v>46</v>
      </c>
      <c r="M67" s="11" t="s">
        <v>61</v>
      </c>
      <c r="N67" s="11"/>
      <c r="O67" s="12"/>
      <c r="P67" s="12"/>
    </row>
    <row r="68" customFormat="false" ht="23.85" hidden="false" customHeight="false" outlineLevel="0" collapsed="false">
      <c r="A68" s="11" t="s">
        <v>427</v>
      </c>
      <c r="B68" s="11" t="s">
        <v>31</v>
      </c>
      <c r="C68" s="11" t="s">
        <v>428</v>
      </c>
      <c r="D68" s="11" t="s">
        <v>272</v>
      </c>
      <c r="E68" s="11" t="s">
        <v>419</v>
      </c>
      <c r="F68" s="11" t="s">
        <v>420</v>
      </c>
      <c r="G68" s="11" t="s">
        <v>90</v>
      </c>
      <c r="H68" s="11" t="s">
        <v>52</v>
      </c>
      <c r="I68" s="11" t="s">
        <v>429</v>
      </c>
      <c r="J68" s="11" t="s">
        <v>422</v>
      </c>
      <c r="K68" s="11" t="s">
        <v>72</v>
      </c>
      <c r="L68" s="11" t="s">
        <v>46</v>
      </c>
      <c r="M68" s="11" t="s">
        <v>61</v>
      </c>
      <c r="N68" s="11"/>
      <c r="O68" s="12"/>
      <c r="P68" s="12"/>
    </row>
    <row r="69" customFormat="false" ht="23.85" hidden="false" customHeight="false" outlineLevel="0" collapsed="false">
      <c r="A69" s="11" t="s">
        <v>430</v>
      </c>
      <c r="B69" s="11" t="s">
        <v>31</v>
      </c>
      <c r="C69" s="11" t="s">
        <v>431</v>
      </c>
      <c r="D69" s="11" t="s">
        <v>432</v>
      </c>
      <c r="E69" s="11" t="s">
        <v>88</v>
      </c>
      <c r="F69" s="11" t="s">
        <v>420</v>
      </c>
      <c r="G69" s="11" t="s">
        <v>90</v>
      </c>
      <c r="H69" s="11" t="s">
        <v>52</v>
      </c>
      <c r="I69" s="11" t="s">
        <v>433</v>
      </c>
      <c r="J69" s="11" t="s">
        <v>434</v>
      </c>
      <c r="K69" s="11" t="s">
        <v>72</v>
      </c>
      <c r="L69" s="11" t="s">
        <v>47</v>
      </c>
      <c r="M69" s="11" t="s">
        <v>61</v>
      </c>
      <c r="N69" s="11"/>
      <c r="O69" s="12"/>
      <c r="P69" s="12"/>
    </row>
    <row r="70" customFormat="false" ht="23.85" hidden="false" customHeight="false" outlineLevel="0" collapsed="false">
      <c r="A70" s="11" t="s">
        <v>435</v>
      </c>
      <c r="B70" s="11" t="s">
        <v>31</v>
      </c>
      <c r="C70" s="11" t="s">
        <v>436</v>
      </c>
      <c r="D70" s="11"/>
      <c r="E70" s="11" t="s">
        <v>102</v>
      </c>
      <c r="F70" s="11" t="s">
        <v>420</v>
      </c>
      <c r="G70" s="11" t="s">
        <v>90</v>
      </c>
      <c r="H70" s="11" t="s">
        <v>52</v>
      </c>
      <c r="I70" s="11" t="s">
        <v>437</v>
      </c>
      <c r="J70" s="11" t="s">
        <v>438</v>
      </c>
      <c r="K70" s="11" t="s">
        <v>72</v>
      </c>
      <c r="L70" s="11" t="s">
        <v>48</v>
      </c>
      <c r="M70" s="11" t="s">
        <v>61</v>
      </c>
      <c r="N70" s="11" t="s">
        <v>439</v>
      </c>
      <c r="O70" s="12"/>
      <c r="P70" s="12"/>
    </row>
    <row r="71" customFormat="false" ht="23.85" hidden="false" customHeight="false" outlineLevel="0" collapsed="false">
      <c r="A71" s="11" t="s">
        <v>440</v>
      </c>
      <c r="B71" s="11" t="s">
        <v>31</v>
      </c>
      <c r="C71" s="11" t="s">
        <v>441</v>
      </c>
      <c r="D71" s="11" t="s">
        <v>442</v>
      </c>
      <c r="E71" s="11" t="s">
        <v>102</v>
      </c>
      <c r="F71" s="11" t="s">
        <v>125</v>
      </c>
      <c r="G71" s="11" t="s">
        <v>90</v>
      </c>
      <c r="H71" s="11" t="s">
        <v>52</v>
      </c>
      <c r="I71" s="11" t="s">
        <v>443</v>
      </c>
      <c r="J71" s="11" t="s">
        <v>444</v>
      </c>
      <c r="K71" s="11" t="s">
        <v>72</v>
      </c>
      <c r="L71" s="11" t="s">
        <v>47</v>
      </c>
      <c r="M71" s="11" t="s">
        <v>61</v>
      </c>
      <c r="N71" s="11"/>
      <c r="O71" s="12"/>
      <c r="P71" s="12"/>
    </row>
    <row r="72" customFormat="false" ht="15" hidden="false" customHeight="false" outlineLevel="0" collapsed="false">
      <c r="A72" s="11" t="s">
        <v>445</v>
      </c>
      <c r="B72" s="11" t="s">
        <v>31</v>
      </c>
      <c r="C72" s="11" t="s">
        <v>446</v>
      </c>
      <c r="D72" s="11" t="s">
        <v>447</v>
      </c>
      <c r="E72" s="11" t="s">
        <v>143</v>
      </c>
      <c r="F72" s="11" t="s">
        <v>321</v>
      </c>
      <c r="G72" s="11" t="s">
        <v>448</v>
      </c>
      <c r="H72" s="11" t="s">
        <v>57</v>
      </c>
      <c r="I72" s="11" t="s">
        <v>449</v>
      </c>
      <c r="J72" s="11" t="s">
        <v>262</v>
      </c>
      <c r="K72" s="11" t="s">
        <v>70</v>
      </c>
      <c r="L72" s="11" t="s">
        <v>46</v>
      </c>
      <c r="M72" s="11" t="s">
        <v>64</v>
      </c>
      <c r="N72" s="11" t="s">
        <v>450</v>
      </c>
      <c r="O72" s="12"/>
      <c r="P72" s="12"/>
    </row>
    <row r="73" customFormat="false" ht="15" hidden="false" customHeight="false" outlineLevel="0" collapsed="false">
      <c r="A73" s="11" t="s">
        <v>451</v>
      </c>
      <c r="B73" s="11" t="s">
        <v>31</v>
      </c>
      <c r="C73" s="11" t="s">
        <v>452</v>
      </c>
      <c r="D73" s="11"/>
      <c r="E73" s="11" t="s">
        <v>143</v>
      </c>
      <c r="F73" s="11" t="s">
        <v>321</v>
      </c>
      <c r="G73" s="11" t="s">
        <v>453</v>
      </c>
      <c r="H73" s="11" t="s">
        <v>57</v>
      </c>
      <c r="I73" s="11" t="s">
        <v>449</v>
      </c>
      <c r="J73" s="11" t="s">
        <v>262</v>
      </c>
      <c r="K73" s="11" t="s">
        <v>70</v>
      </c>
      <c r="L73" s="11" t="s">
        <v>47</v>
      </c>
      <c r="M73" s="11" t="s">
        <v>64</v>
      </c>
      <c r="N73" s="11"/>
      <c r="O73" s="12"/>
      <c r="P73" s="12"/>
    </row>
    <row r="74" customFormat="false" ht="23.85" hidden="false" customHeight="false" outlineLevel="0" collapsed="false">
      <c r="A74" s="11" t="s">
        <v>454</v>
      </c>
      <c r="B74" s="11" t="s">
        <v>31</v>
      </c>
      <c r="C74" s="11" t="s">
        <v>455</v>
      </c>
      <c r="D74" s="11" t="s">
        <v>456</v>
      </c>
      <c r="E74" s="11" t="s">
        <v>248</v>
      </c>
      <c r="F74" s="11" t="s">
        <v>457</v>
      </c>
      <c r="G74" s="11" t="s">
        <v>458</v>
      </c>
      <c r="H74" s="11" t="s">
        <v>59</v>
      </c>
      <c r="I74" s="11" t="s">
        <v>459</v>
      </c>
      <c r="J74" s="11" t="s">
        <v>262</v>
      </c>
      <c r="K74" s="11" t="s">
        <v>70</v>
      </c>
      <c r="L74" s="11" t="s">
        <v>46</v>
      </c>
      <c r="M74" s="11" t="s">
        <v>64</v>
      </c>
      <c r="N74" s="11" t="s">
        <v>460</v>
      </c>
      <c r="O74" s="12"/>
      <c r="P74" s="12"/>
    </row>
    <row r="75" customFormat="false" ht="23.85" hidden="false" customHeight="false" outlineLevel="0" collapsed="false">
      <c r="A75" s="11" t="s">
        <v>461</v>
      </c>
      <c r="B75" s="11" t="s">
        <v>31</v>
      </c>
      <c r="C75" s="11" t="s">
        <v>462</v>
      </c>
      <c r="D75" s="11" t="s">
        <v>463</v>
      </c>
      <c r="E75" s="11" t="s">
        <v>143</v>
      </c>
      <c r="F75" s="11" t="s">
        <v>464</v>
      </c>
      <c r="G75" s="11" t="s">
        <v>196</v>
      </c>
      <c r="H75" s="11" t="s">
        <v>57</v>
      </c>
      <c r="I75" s="11" t="s">
        <v>465</v>
      </c>
      <c r="J75" s="11" t="s">
        <v>262</v>
      </c>
      <c r="K75" s="11" t="s">
        <v>70</v>
      </c>
      <c r="L75" s="11" t="s">
        <v>48</v>
      </c>
      <c r="M75" s="11" t="s">
        <v>64</v>
      </c>
      <c r="N75" s="11"/>
      <c r="O75" s="12"/>
      <c r="P75" s="12"/>
    </row>
    <row r="76" customFormat="false" ht="23.85" hidden="false" customHeight="false" outlineLevel="0" collapsed="false">
      <c r="A76" s="11" t="s">
        <v>466</v>
      </c>
      <c r="B76" s="11" t="s">
        <v>32</v>
      </c>
      <c r="C76" s="11" t="s">
        <v>467</v>
      </c>
      <c r="D76" s="11"/>
      <c r="E76" s="11" t="s">
        <v>468</v>
      </c>
      <c r="F76" s="11" t="s">
        <v>420</v>
      </c>
      <c r="G76" s="11" t="s">
        <v>469</v>
      </c>
      <c r="H76" s="11" t="s">
        <v>59</v>
      </c>
      <c r="I76" s="11" t="s">
        <v>470</v>
      </c>
      <c r="J76" s="11" t="s">
        <v>471</v>
      </c>
      <c r="K76" s="11" t="s">
        <v>70</v>
      </c>
      <c r="L76" s="11" t="s">
        <v>46</v>
      </c>
      <c r="M76" s="11" t="s">
        <v>63</v>
      </c>
      <c r="N76" s="11"/>
      <c r="O76" s="12"/>
      <c r="P76" s="12"/>
    </row>
    <row r="77" customFormat="false" ht="23.85" hidden="false" customHeight="false" outlineLevel="0" collapsed="false">
      <c r="A77" s="11" t="s">
        <v>472</v>
      </c>
      <c r="B77" s="11" t="s">
        <v>32</v>
      </c>
      <c r="C77" s="11" t="s">
        <v>473</v>
      </c>
      <c r="D77" s="11" t="s">
        <v>474</v>
      </c>
      <c r="E77" s="11" t="s">
        <v>233</v>
      </c>
      <c r="F77" s="11" t="s">
        <v>420</v>
      </c>
      <c r="G77" s="11" t="s">
        <v>475</v>
      </c>
      <c r="H77" s="11" t="s">
        <v>55</v>
      </c>
      <c r="I77" s="11" t="s">
        <v>476</v>
      </c>
      <c r="J77" s="11" t="s">
        <v>262</v>
      </c>
      <c r="K77" s="11" t="s">
        <v>70</v>
      </c>
      <c r="L77" s="11" t="s">
        <v>46</v>
      </c>
      <c r="M77" s="11" t="s">
        <v>63</v>
      </c>
      <c r="N77" s="11"/>
      <c r="O77" s="12"/>
      <c r="P77" s="12"/>
    </row>
    <row r="78" customFormat="false" ht="23.85" hidden="false" customHeight="false" outlineLevel="0" collapsed="false">
      <c r="A78" s="11" t="s">
        <v>477</v>
      </c>
      <c r="B78" s="11" t="s">
        <v>32</v>
      </c>
      <c r="C78" s="11" t="s">
        <v>478</v>
      </c>
      <c r="D78" s="11"/>
      <c r="E78" s="11" t="s">
        <v>233</v>
      </c>
      <c r="F78" s="11" t="s">
        <v>89</v>
      </c>
      <c r="G78" s="11" t="s">
        <v>469</v>
      </c>
      <c r="H78" s="11" t="s">
        <v>55</v>
      </c>
      <c r="I78" s="11" t="s">
        <v>479</v>
      </c>
      <c r="J78" s="11" t="s">
        <v>262</v>
      </c>
      <c r="K78" s="11" t="s">
        <v>70</v>
      </c>
      <c r="L78" s="11" t="s">
        <v>46</v>
      </c>
      <c r="M78" s="11" t="s">
        <v>63</v>
      </c>
      <c r="N78" s="11"/>
      <c r="O78" s="12"/>
      <c r="P78" s="12"/>
    </row>
    <row r="79" customFormat="false" ht="23.85" hidden="false" customHeight="false" outlineLevel="0" collapsed="false">
      <c r="A79" s="11" t="s">
        <v>480</v>
      </c>
      <c r="B79" s="11" t="s">
        <v>32</v>
      </c>
      <c r="C79" s="11" t="s">
        <v>481</v>
      </c>
      <c r="D79" s="11" t="s">
        <v>482</v>
      </c>
      <c r="E79" s="11" t="s">
        <v>483</v>
      </c>
      <c r="F79" s="11" t="s">
        <v>420</v>
      </c>
      <c r="G79" s="11" t="s">
        <v>484</v>
      </c>
      <c r="H79" s="11" t="s">
        <v>55</v>
      </c>
      <c r="I79" s="11" t="s">
        <v>485</v>
      </c>
      <c r="J79" s="11" t="s">
        <v>262</v>
      </c>
      <c r="K79" s="11" t="s">
        <v>70</v>
      </c>
      <c r="L79" s="11" t="s">
        <v>46</v>
      </c>
      <c r="M79" s="11" t="s">
        <v>63</v>
      </c>
      <c r="N79" s="11"/>
      <c r="O79" s="12"/>
      <c r="P79" s="12"/>
    </row>
    <row r="80" customFormat="false" ht="23.85" hidden="false" customHeight="false" outlineLevel="0" collapsed="false">
      <c r="A80" s="11" t="s">
        <v>486</v>
      </c>
      <c r="B80" s="11" t="s">
        <v>32</v>
      </c>
      <c r="C80" s="11" t="s">
        <v>487</v>
      </c>
      <c r="D80" s="11"/>
      <c r="E80" s="11" t="s">
        <v>488</v>
      </c>
      <c r="F80" s="11" t="s">
        <v>489</v>
      </c>
      <c r="G80" s="11" t="s">
        <v>469</v>
      </c>
      <c r="H80" s="11" t="s">
        <v>55</v>
      </c>
      <c r="I80" s="11" t="s">
        <v>490</v>
      </c>
      <c r="J80" s="11" t="s">
        <v>262</v>
      </c>
      <c r="K80" s="11" t="s">
        <v>70</v>
      </c>
      <c r="L80" s="11" t="s">
        <v>48</v>
      </c>
      <c r="M80" s="11" t="s">
        <v>63</v>
      </c>
      <c r="N80" s="11"/>
      <c r="O80" s="12"/>
      <c r="P80" s="12"/>
    </row>
    <row r="81" customFormat="false" ht="23.85" hidden="false" customHeight="false" outlineLevel="0" collapsed="false">
      <c r="A81" s="11" t="s">
        <v>491</v>
      </c>
      <c r="B81" s="11" t="s">
        <v>32</v>
      </c>
      <c r="C81" s="11" t="s">
        <v>492</v>
      </c>
      <c r="D81" s="11"/>
      <c r="E81" s="11" t="s">
        <v>493</v>
      </c>
      <c r="F81" s="11" t="s">
        <v>89</v>
      </c>
      <c r="G81" s="11" t="s">
        <v>494</v>
      </c>
      <c r="H81" s="11" t="s">
        <v>55</v>
      </c>
      <c r="I81" s="11" t="s">
        <v>490</v>
      </c>
      <c r="J81" s="11" t="s">
        <v>471</v>
      </c>
      <c r="K81" s="11" t="s">
        <v>70</v>
      </c>
      <c r="L81" s="11" t="s">
        <v>47</v>
      </c>
      <c r="M81" s="11" t="s">
        <v>63</v>
      </c>
      <c r="N81" s="11"/>
      <c r="O81" s="12"/>
      <c r="P81" s="12"/>
    </row>
    <row r="82" customFormat="false" ht="23.85" hidden="false" customHeight="false" outlineLevel="0" collapsed="false">
      <c r="A82" s="11" t="s">
        <v>495</v>
      </c>
      <c r="B82" s="11" t="s">
        <v>32</v>
      </c>
      <c r="C82" s="11" t="s">
        <v>496</v>
      </c>
      <c r="D82" s="11"/>
      <c r="E82" s="11" t="s">
        <v>488</v>
      </c>
      <c r="F82" s="11" t="s">
        <v>497</v>
      </c>
      <c r="G82" s="11" t="s">
        <v>469</v>
      </c>
      <c r="H82" s="11" t="s">
        <v>55</v>
      </c>
      <c r="I82" s="11" t="s">
        <v>490</v>
      </c>
      <c r="J82" s="11" t="s">
        <v>471</v>
      </c>
      <c r="K82" s="11" t="s">
        <v>70</v>
      </c>
      <c r="L82" s="11" t="s">
        <v>46</v>
      </c>
      <c r="M82" s="11" t="s">
        <v>63</v>
      </c>
      <c r="N82" s="11"/>
      <c r="O82" s="12"/>
      <c r="P82" s="12"/>
    </row>
    <row r="83" customFormat="false" ht="23.85" hidden="false" customHeight="false" outlineLevel="0" collapsed="false">
      <c r="A83" s="11" t="s">
        <v>498</v>
      </c>
      <c r="B83" s="11" t="s">
        <v>32</v>
      </c>
      <c r="C83" s="11" t="s">
        <v>499</v>
      </c>
      <c r="D83" s="11" t="s">
        <v>500</v>
      </c>
      <c r="E83" s="11" t="s">
        <v>488</v>
      </c>
      <c r="F83" s="11" t="s">
        <v>497</v>
      </c>
      <c r="G83" s="11" t="s">
        <v>469</v>
      </c>
      <c r="H83" s="11" t="s">
        <v>55</v>
      </c>
      <c r="I83" s="11" t="s">
        <v>490</v>
      </c>
      <c r="J83" s="11" t="s">
        <v>471</v>
      </c>
      <c r="K83" s="11" t="s">
        <v>70</v>
      </c>
      <c r="L83" s="11" t="s">
        <v>46</v>
      </c>
      <c r="M83" s="11" t="s">
        <v>63</v>
      </c>
      <c r="N83" s="11"/>
      <c r="O83" s="12"/>
      <c r="P83" s="12"/>
    </row>
    <row r="84" customFormat="false" ht="35.05" hidden="false" customHeight="false" outlineLevel="0" collapsed="false">
      <c r="A84" s="11" t="s">
        <v>501</v>
      </c>
      <c r="B84" s="11" t="s">
        <v>32</v>
      </c>
      <c r="C84" s="11" t="s">
        <v>502</v>
      </c>
      <c r="D84" s="11" t="s">
        <v>503</v>
      </c>
      <c r="E84" s="11" t="s">
        <v>143</v>
      </c>
      <c r="F84" s="11" t="s">
        <v>497</v>
      </c>
      <c r="G84" s="11" t="s">
        <v>469</v>
      </c>
      <c r="H84" s="11" t="s">
        <v>55</v>
      </c>
      <c r="I84" s="11" t="s">
        <v>504</v>
      </c>
      <c r="J84" s="11" t="s">
        <v>262</v>
      </c>
      <c r="K84" s="11" t="s">
        <v>70</v>
      </c>
      <c r="L84" s="11" t="s">
        <v>46</v>
      </c>
      <c r="M84" s="11" t="s">
        <v>63</v>
      </c>
      <c r="N84" s="11"/>
      <c r="O84" s="12"/>
      <c r="P84" s="12"/>
    </row>
    <row r="85" customFormat="false" ht="23.85" hidden="false" customHeight="false" outlineLevel="0" collapsed="false">
      <c r="A85" s="11" t="s">
        <v>505</v>
      </c>
      <c r="B85" s="11" t="s">
        <v>32</v>
      </c>
      <c r="C85" s="11" t="s">
        <v>506</v>
      </c>
      <c r="D85" s="11" t="s">
        <v>507</v>
      </c>
      <c r="E85" s="11" t="s">
        <v>143</v>
      </c>
      <c r="F85" s="11" t="s">
        <v>420</v>
      </c>
      <c r="G85" s="11" t="s">
        <v>469</v>
      </c>
      <c r="H85" s="11" t="s">
        <v>55</v>
      </c>
      <c r="I85" s="11" t="s">
        <v>490</v>
      </c>
      <c r="J85" s="11" t="s">
        <v>262</v>
      </c>
      <c r="K85" s="11" t="s">
        <v>70</v>
      </c>
      <c r="L85" s="11" t="s">
        <v>46</v>
      </c>
      <c r="M85" s="11" t="s">
        <v>63</v>
      </c>
      <c r="N85" s="11" t="s">
        <v>508</v>
      </c>
      <c r="O85" s="12"/>
      <c r="P85" s="12"/>
    </row>
    <row r="86" customFormat="false" ht="23.85" hidden="false" customHeight="false" outlineLevel="0" collapsed="false">
      <c r="A86" s="11" t="s">
        <v>509</v>
      </c>
      <c r="B86" s="11" t="s">
        <v>32</v>
      </c>
      <c r="C86" s="11" t="s">
        <v>510</v>
      </c>
      <c r="D86" s="11"/>
      <c r="E86" s="11" t="s">
        <v>143</v>
      </c>
      <c r="F86" s="11" t="s">
        <v>420</v>
      </c>
      <c r="G86" s="11" t="s">
        <v>469</v>
      </c>
      <c r="H86" s="11" t="s">
        <v>55</v>
      </c>
      <c r="I86" s="11" t="s">
        <v>490</v>
      </c>
      <c r="J86" s="11" t="s">
        <v>262</v>
      </c>
      <c r="K86" s="11" t="s">
        <v>70</v>
      </c>
      <c r="L86" s="11" t="s">
        <v>47</v>
      </c>
      <c r="M86" s="11" t="s">
        <v>63</v>
      </c>
      <c r="N86" s="11"/>
      <c r="O86" s="12"/>
      <c r="P86" s="12"/>
    </row>
    <row r="87" customFormat="false" ht="23.85" hidden="false" customHeight="false" outlineLevel="0" collapsed="false">
      <c r="A87" s="11" t="s">
        <v>511</v>
      </c>
      <c r="B87" s="11" t="s">
        <v>32</v>
      </c>
      <c r="C87" s="11" t="s">
        <v>512</v>
      </c>
      <c r="D87" s="11" t="s">
        <v>513</v>
      </c>
      <c r="E87" s="11" t="s">
        <v>514</v>
      </c>
      <c r="F87" s="11" t="s">
        <v>420</v>
      </c>
      <c r="G87" s="11" t="s">
        <v>515</v>
      </c>
      <c r="H87" s="11" t="s">
        <v>57</v>
      </c>
      <c r="I87" s="11" t="s">
        <v>516</v>
      </c>
      <c r="J87" s="11" t="s">
        <v>262</v>
      </c>
      <c r="K87" s="11" t="s">
        <v>70</v>
      </c>
      <c r="L87" s="11" t="s">
        <v>47</v>
      </c>
      <c r="M87" s="11" t="s">
        <v>64</v>
      </c>
      <c r="N87" s="11"/>
      <c r="O87" s="12"/>
      <c r="P87" s="12"/>
    </row>
    <row r="88" customFormat="false" ht="23.85" hidden="false" customHeight="false" outlineLevel="0" collapsed="false">
      <c r="A88" s="11" t="s">
        <v>517</v>
      </c>
      <c r="B88" s="11" t="s">
        <v>32</v>
      </c>
      <c r="C88" s="11" t="s">
        <v>518</v>
      </c>
      <c r="D88" s="11"/>
      <c r="E88" s="11" t="s">
        <v>519</v>
      </c>
      <c r="F88" s="11" t="s">
        <v>89</v>
      </c>
      <c r="G88" s="11" t="s">
        <v>469</v>
      </c>
      <c r="H88" s="11" t="s">
        <v>55</v>
      </c>
      <c r="I88" s="11" t="s">
        <v>520</v>
      </c>
      <c r="J88" s="11" t="s">
        <v>262</v>
      </c>
      <c r="K88" s="11" t="s">
        <v>70</v>
      </c>
      <c r="L88" s="11" t="s">
        <v>48</v>
      </c>
      <c r="M88" s="11" t="s">
        <v>63</v>
      </c>
      <c r="N88" s="11"/>
      <c r="O88" s="12"/>
      <c r="P88" s="12"/>
    </row>
    <row r="89" customFormat="false" ht="23.85" hidden="false" customHeight="false" outlineLevel="0" collapsed="false">
      <c r="A89" s="11" t="s">
        <v>521</v>
      </c>
      <c r="B89" s="11" t="s">
        <v>32</v>
      </c>
      <c r="C89" s="11" t="s">
        <v>522</v>
      </c>
      <c r="D89" s="11" t="s">
        <v>523</v>
      </c>
      <c r="E89" s="11" t="s">
        <v>307</v>
      </c>
      <c r="F89" s="11" t="s">
        <v>524</v>
      </c>
      <c r="G89" s="11" t="s">
        <v>525</v>
      </c>
      <c r="H89" s="11" t="s">
        <v>55</v>
      </c>
      <c r="I89" s="11" t="s">
        <v>526</v>
      </c>
      <c r="J89" s="11" t="s">
        <v>262</v>
      </c>
      <c r="K89" s="11" t="s">
        <v>70</v>
      </c>
      <c r="L89" s="11" t="s">
        <v>47</v>
      </c>
      <c r="M89" s="11" t="s">
        <v>63</v>
      </c>
      <c r="N89" s="11"/>
      <c r="O89" s="12"/>
      <c r="P89" s="12"/>
    </row>
    <row r="90" customFormat="false" ht="23.85" hidden="false" customHeight="false" outlineLevel="0" collapsed="false">
      <c r="A90" s="11" t="s">
        <v>527</v>
      </c>
      <c r="B90" s="11" t="s">
        <v>32</v>
      </c>
      <c r="C90" s="11" t="s">
        <v>528</v>
      </c>
      <c r="D90" s="11" t="s">
        <v>529</v>
      </c>
      <c r="E90" s="11" t="s">
        <v>519</v>
      </c>
      <c r="F90" s="11" t="s">
        <v>89</v>
      </c>
      <c r="G90" s="11" t="s">
        <v>530</v>
      </c>
      <c r="H90" s="11" t="s">
        <v>55</v>
      </c>
      <c r="I90" s="11" t="s">
        <v>531</v>
      </c>
      <c r="J90" s="11" t="s">
        <v>262</v>
      </c>
      <c r="K90" s="11" t="s">
        <v>70</v>
      </c>
      <c r="L90" s="11" t="s">
        <v>48</v>
      </c>
      <c r="M90" s="11" t="s">
        <v>63</v>
      </c>
      <c r="N90" s="11"/>
      <c r="O90" s="12"/>
      <c r="P90" s="12"/>
    </row>
    <row r="91" customFormat="false" ht="23.85" hidden="false" customHeight="false" outlineLevel="0" collapsed="false">
      <c r="A91" s="11" t="s">
        <v>532</v>
      </c>
      <c r="B91" s="11" t="s">
        <v>32</v>
      </c>
      <c r="C91" s="11" t="s">
        <v>533</v>
      </c>
      <c r="D91" s="11" t="s">
        <v>534</v>
      </c>
      <c r="E91" s="11" t="s">
        <v>519</v>
      </c>
      <c r="F91" s="11" t="s">
        <v>420</v>
      </c>
      <c r="G91" s="11" t="s">
        <v>535</v>
      </c>
      <c r="H91" s="11" t="s">
        <v>59</v>
      </c>
      <c r="I91" s="11" t="s">
        <v>536</v>
      </c>
      <c r="J91" s="11" t="s">
        <v>262</v>
      </c>
      <c r="K91" s="11" t="s">
        <v>70</v>
      </c>
      <c r="L91" s="11" t="s">
        <v>48</v>
      </c>
      <c r="M91" s="11" t="s">
        <v>64</v>
      </c>
      <c r="N91" s="11"/>
      <c r="O91" s="12"/>
      <c r="P91" s="12"/>
    </row>
    <row r="92" customFormat="false" ht="23.85" hidden="false" customHeight="false" outlineLevel="0" collapsed="false">
      <c r="A92" s="11" t="s">
        <v>537</v>
      </c>
      <c r="B92" s="11" t="s">
        <v>33</v>
      </c>
      <c r="C92" s="11" t="s">
        <v>538</v>
      </c>
      <c r="D92" s="11"/>
      <c r="E92" s="11" t="s">
        <v>233</v>
      </c>
      <c r="F92" s="11" t="s">
        <v>539</v>
      </c>
      <c r="G92" s="11" t="s">
        <v>540</v>
      </c>
      <c r="H92" s="11" t="s">
        <v>53</v>
      </c>
      <c r="I92" s="11" t="s">
        <v>541</v>
      </c>
      <c r="J92" s="11" t="s">
        <v>542</v>
      </c>
      <c r="K92" s="11" t="s">
        <v>72</v>
      </c>
      <c r="L92" s="11" t="s">
        <v>46</v>
      </c>
      <c r="M92" s="11" t="s">
        <v>62</v>
      </c>
      <c r="N92" s="11" t="s">
        <v>543</v>
      </c>
      <c r="O92" s="12"/>
      <c r="P92" s="12"/>
    </row>
    <row r="93" customFormat="false" ht="35.05" hidden="false" customHeight="false" outlineLevel="0" collapsed="false">
      <c r="A93" s="11" t="s">
        <v>544</v>
      </c>
      <c r="B93" s="11" t="s">
        <v>33</v>
      </c>
      <c r="C93" s="11" t="s">
        <v>545</v>
      </c>
      <c r="D93" s="11" t="s">
        <v>546</v>
      </c>
      <c r="E93" s="11" t="s">
        <v>233</v>
      </c>
      <c r="F93" s="11" t="s">
        <v>539</v>
      </c>
      <c r="G93" s="11" t="s">
        <v>547</v>
      </c>
      <c r="H93" s="11" t="s">
        <v>53</v>
      </c>
      <c r="I93" s="11" t="s">
        <v>548</v>
      </c>
      <c r="J93" s="11" t="s">
        <v>549</v>
      </c>
      <c r="K93" s="11" t="s">
        <v>72</v>
      </c>
      <c r="L93" s="11" t="s">
        <v>47</v>
      </c>
      <c r="M93" s="11" t="s">
        <v>62</v>
      </c>
      <c r="N93" s="11"/>
      <c r="O93" s="12"/>
      <c r="P93" s="12"/>
    </row>
    <row r="94" customFormat="false" ht="35.05" hidden="false" customHeight="false" outlineLevel="0" collapsed="false">
      <c r="A94" s="11" t="s">
        <v>550</v>
      </c>
      <c r="B94" s="11" t="s">
        <v>33</v>
      </c>
      <c r="C94" s="11" t="s">
        <v>551</v>
      </c>
      <c r="D94" s="11" t="s">
        <v>552</v>
      </c>
      <c r="E94" s="11" t="s">
        <v>233</v>
      </c>
      <c r="F94" s="11" t="s">
        <v>539</v>
      </c>
      <c r="G94" s="11" t="s">
        <v>547</v>
      </c>
      <c r="H94" s="11" t="s">
        <v>53</v>
      </c>
      <c r="I94" s="11" t="s">
        <v>553</v>
      </c>
      <c r="J94" s="11" t="s">
        <v>554</v>
      </c>
      <c r="K94" s="11" t="s">
        <v>72</v>
      </c>
      <c r="L94" s="11" t="s">
        <v>47</v>
      </c>
      <c r="M94" s="11" t="s">
        <v>62</v>
      </c>
      <c r="N94" s="11"/>
      <c r="O94" s="12"/>
      <c r="P94" s="12"/>
    </row>
    <row r="95" customFormat="false" ht="15" hidden="false" customHeight="false" outlineLevel="0" collapsed="false">
      <c r="A95" s="11" t="s">
        <v>555</v>
      </c>
      <c r="B95" s="11" t="s">
        <v>33</v>
      </c>
      <c r="C95" s="11" t="s">
        <v>556</v>
      </c>
      <c r="D95" s="11"/>
      <c r="E95" s="11" t="s">
        <v>233</v>
      </c>
      <c r="F95" s="11" t="s">
        <v>137</v>
      </c>
      <c r="G95" s="11" t="s">
        <v>547</v>
      </c>
      <c r="H95" s="11" t="s">
        <v>53</v>
      </c>
      <c r="I95" s="11" t="s">
        <v>557</v>
      </c>
      <c r="J95" s="11" t="s">
        <v>558</v>
      </c>
      <c r="K95" s="11" t="s">
        <v>72</v>
      </c>
      <c r="L95" s="11" t="s">
        <v>46</v>
      </c>
      <c r="M95" s="11" t="s">
        <v>62</v>
      </c>
      <c r="N95" s="11"/>
      <c r="O95" s="12"/>
      <c r="P95" s="12"/>
    </row>
    <row r="96" customFormat="false" ht="23.85" hidden="false" customHeight="false" outlineLevel="0" collapsed="false">
      <c r="A96" s="11" t="s">
        <v>559</v>
      </c>
      <c r="B96" s="11" t="s">
        <v>33</v>
      </c>
      <c r="C96" s="11" t="s">
        <v>560</v>
      </c>
      <c r="D96" s="11"/>
      <c r="E96" s="11" t="s">
        <v>233</v>
      </c>
      <c r="F96" s="11" t="s">
        <v>561</v>
      </c>
      <c r="G96" s="11" t="s">
        <v>562</v>
      </c>
      <c r="H96" s="11" t="s">
        <v>59</v>
      </c>
      <c r="I96" s="11" t="s">
        <v>563</v>
      </c>
      <c r="J96" s="11" t="s">
        <v>262</v>
      </c>
      <c r="K96" s="11" t="s">
        <v>70</v>
      </c>
      <c r="L96" s="11" t="s">
        <v>47</v>
      </c>
      <c r="M96" s="11" t="s">
        <v>64</v>
      </c>
      <c r="N96" s="11"/>
      <c r="O96" s="12"/>
      <c r="P96" s="12"/>
    </row>
    <row r="97" customFormat="false" ht="15" hidden="false" customHeight="false" outlineLevel="0" collapsed="false">
      <c r="A97" s="11" t="s">
        <v>564</v>
      </c>
      <c r="B97" s="11" t="s">
        <v>33</v>
      </c>
      <c r="C97" s="11" t="s">
        <v>565</v>
      </c>
      <c r="D97" s="11"/>
      <c r="E97" s="11" t="s">
        <v>233</v>
      </c>
      <c r="F97" s="11" t="s">
        <v>420</v>
      </c>
      <c r="G97" s="11" t="s">
        <v>566</v>
      </c>
      <c r="H97" s="11" t="s">
        <v>55</v>
      </c>
      <c r="I97" s="11" t="s">
        <v>567</v>
      </c>
      <c r="J97" s="11" t="s">
        <v>262</v>
      </c>
      <c r="K97" s="11" t="s">
        <v>70</v>
      </c>
      <c r="L97" s="11" t="s">
        <v>46</v>
      </c>
      <c r="M97" s="11" t="s">
        <v>63</v>
      </c>
      <c r="N97" s="11" t="s">
        <v>568</v>
      </c>
      <c r="O97" s="12"/>
      <c r="P97" s="12"/>
    </row>
    <row r="98" customFormat="false" ht="15" hidden="false" customHeight="false" outlineLevel="0" collapsed="false">
      <c r="A98" s="11" t="s">
        <v>569</v>
      </c>
      <c r="B98" s="11" t="s">
        <v>33</v>
      </c>
      <c r="C98" s="11" t="s">
        <v>570</v>
      </c>
      <c r="D98" s="11"/>
      <c r="E98" s="11" t="s">
        <v>233</v>
      </c>
      <c r="F98" s="11" t="s">
        <v>420</v>
      </c>
      <c r="G98" s="11" t="s">
        <v>571</v>
      </c>
      <c r="H98" s="11" t="s">
        <v>55</v>
      </c>
      <c r="I98" s="11" t="s">
        <v>572</v>
      </c>
      <c r="J98" s="11" t="s">
        <v>262</v>
      </c>
      <c r="K98" s="11" t="s">
        <v>70</v>
      </c>
      <c r="L98" s="11" t="s">
        <v>47</v>
      </c>
      <c r="M98" s="11" t="s">
        <v>63</v>
      </c>
      <c r="N98" s="11"/>
      <c r="O98" s="12"/>
      <c r="P98" s="12"/>
    </row>
    <row r="99" customFormat="false" ht="23.85" hidden="false" customHeight="false" outlineLevel="0" collapsed="false">
      <c r="A99" s="11" t="s">
        <v>573</v>
      </c>
      <c r="B99" s="11" t="s">
        <v>33</v>
      </c>
      <c r="C99" s="11" t="s">
        <v>574</v>
      </c>
      <c r="D99" s="11"/>
      <c r="E99" s="11" t="s">
        <v>233</v>
      </c>
      <c r="F99" s="11" t="s">
        <v>420</v>
      </c>
      <c r="G99" s="11" t="s">
        <v>566</v>
      </c>
      <c r="H99" s="11" t="s">
        <v>55</v>
      </c>
      <c r="I99" s="11" t="s">
        <v>575</v>
      </c>
      <c r="J99" s="11" t="s">
        <v>262</v>
      </c>
      <c r="K99" s="11" t="s">
        <v>70</v>
      </c>
      <c r="L99" s="11" t="s">
        <v>47</v>
      </c>
      <c r="M99" s="11" t="s">
        <v>63</v>
      </c>
      <c r="N99" s="11"/>
      <c r="O99" s="12"/>
      <c r="P99" s="12"/>
    </row>
    <row r="100" customFormat="false" ht="15" hidden="false" customHeight="false" outlineLevel="0" collapsed="false">
      <c r="A100" s="11" t="s">
        <v>576</v>
      </c>
      <c r="B100" s="11" t="s">
        <v>33</v>
      </c>
      <c r="C100" s="11" t="s">
        <v>577</v>
      </c>
      <c r="D100" s="11" t="s">
        <v>578</v>
      </c>
      <c r="E100" s="11" t="s">
        <v>493</v>
      </c>
      <c r="F100" s="11" t="s">
        <v>420</v>
      </c>
      <c r="G100" s="11" t="s">
        <v>579</v>
      </c>
      <c r="H100" s="11" t="s">
        <v>59</v>
      </c>
      <c r="I100" s="11" t="s">
        <v>580</v>
      </c>
      <c r="J100" s="11" t="s">
        <v>262</v>
      </c>
      <c r="K100" s="11" t="s">
        <v>70</v>
      </c>
      <c r="L100" s="11" t="s">
        <v>48</v>
      </c>
      <c r="M100" s="11" t="s">
        <v>64</v>
      </c>
      <c r="N100" s="11"/>
      <c r="O100" s="12"/>
      <c r="P100" s="12"/>
    </row>
    <row r="101" customFormat="false" ht="23.85" hidden="false" customHeight="false" outlineLevel="0" collapsed="false">
      <c r="A101" s="11" t="s">
        <v>581</v>
      </c>
      <c r="B101" s="11" t="s">
        <v>33</v>
      </c>
      <c r="C101" s="11" t="s">
        <v>582</v>
      </c>
      <c r="D101" s="11"/>
      <c r="E101" s="11" t="s">
        <v>233</v>
      </c>
      <c r="F101" s="11" t="s">
        <v>420</v>
      </c>
      <c r="G101" s="11" t="s">
        <v>583</v>
      </c>
      <c r="H101" s="11" t="s">
        <v>55</v>
      </c>
      <c r="I101" s="11" t="s">
        <v>584</v>
      </c>
      <c r="J101" s="11" t="s">
        <v>262</v>
      </c>
      <c r="K101" s="11" t="s">
        <v>70</v>
      </c>
      <c r="L101" s="11" t="s">
        <v>48</v>
      </c>
      <c r="M101" s="11" t="s">
        <v>63</v>
      </c>
      <c r="N101" s="11"/>
      <c r="O101" s="12"/>
      <c r="P101" s="12"/>
    </row>
    <row r="102" customFormat="false" ht="23.85" hidden="false" customHeight="false" outlineLevel="0" collapsed="false">
      <c r="A102" s="11" t="s">
        <v>585</v>
      </c>
      <c r="B102" s="11" t="s">
        <v>33</v>
      </c>
      <c r="C102" s="11" t="s">
        <v>586</v>
      </c>
      <c r="D102" s="11"/>
      <c r="E102" s="11" t="s">
        <v>233</v>
      </c>
      <c r="F102" s="11" t="s">
        <v>587</v>
      </c>
      <c r="G102" s="11" t="s">
        <v>588</v>
      </c>
      <c r="H102" s="11" t="s">
        <v>55</v>
      </c>
      <c r="I102" s="11" t="s">
        <v>589</v>
      </c>
      <c r="J102" s="11" t="s">
        <v>590</v>
      </c>
      <c r="K102" s="11" t="s">
        <v>71</v>
      </c>
      <c r="L102" s="11" t="s">
        <v>46</v>
      </c>
      <c r="M102" s="11" t="s">
        <v>63</v>
      </c>
      <c r="N102" s="11"/>
      <c r="O102" s="12"/>
      <c r="P102" s="12"/>
    </row>
    <row r="103" customFormat="false" ht="35.05" hidden="false" customHeight="false" outlineLevel="0" collapsed="false">
      <c r="A103" s="11" t="s">
        <v>591</v>
      </c>
      <c r="B103" s="11" t="s">
        <v>33</v>
      </c>
      <c r="C103" s="11" t="s">
        <v>592</v>
      </c>
      <c r="D103" s="11"/>
      <c r="E103" s="11" t="s">
        <v>233</v>
      </c>
      <c r="F103" s="11" t="s">
        <v>125</v>
      </c>
      <c r="G103" s="11" t="s">
        <v>593</v>
      </c>
      <c r="H103" s="11" t="s">
        <v>55</v>
      </c>
      <c r="I103" s="11" t="s">
        <v>594</v>
      </c>
      <c r="J103" s="11" t="s">
        <v>595</v>
      </c>
      <c r="K103" s="11" t="s">
        <v>71</v>
      </c>
      <c r="L103" s="11" t="s">
        <v>47</v>
      </c>
      <c r="M103" s="11" t="s">
        <v>63</v>
      </c>
      <c r="N103" s="11"/>
      <c r="O103" s="12"/>
      <c r="P103" s="12"/>
    </row>
    <row r="104" customFormat="false" ht="15" hidden="false" customHeight="false" outlineLevel="0" collapsed="false">
      <c r="A104" s="11" t="s">
        <v>596</v>
      </c>
      <c r="B104" s="11" t="s">
        <v>33</v>
      </c>
      <c r="C104" s="11" t="s">
        <v>597</v>
      </c>
      <c r="D104" s="11" t="s">
        <v>598</v>
      </c>
      <c r="E104" s="11" t="s">
        <v>233</v>
      </c>
      <c r="F104" s="11" t="s">
        <v>89</v>
      </c>
      <c r="G104" s="11" t="s">
        <v>599</v>
      </c>
      <c r="H104" s="11" t="s">
        <v>59</v>
      </c>
      <c r="I104" s="11" t="s">
        <v>600</v>
      </c>
      <c r="J104" s="11" t="s">
        <v>601</v>
      </c>
      <c r="K104" s="11" t="s">
        <v>70</v>
      </c>
      <c r="L104" s="11" t="s">
        <v>46</v>
      </c>
      <c r="M104" s="11" t="s">
        <v>64</v>
      </c>
      <c r="N104" s="11"/>
      <c r="O104" s="12"/>
      <c r="P104" s="12"/>
    </row>
    <row r="105" customFormat="false" ht="15" hidden="false" customHeight="false" outlineLevel="0" collapsed="false">
      <c r="A105" s="11" t="s">
        <v>602</v>
      </c>
      <c r="B105" s="11" t="s">
        <v>33</v>
      </c>
      <c r="C105" s="11" t="s">
        <v>603</v>
      </c>
      <c r="D105" s="11"/>
      <c r="E105" s="11" t="s">
        <v>233</v>
      </c>
      <c r="F105" s="11" t="s">
        <v>89</v>
      </c>
      <c r="G105" s="11" t="s">
        <v>604</v>
      </c>
      <c r="H105" s="11" t="s">
        <v>59</v>
      </c>
      <c r="I105" s="11" t="s">
        <v>605</v>
      </c>
      <c r="J105" s="11" t="s">
        <v>262</v>
      </c>
      <c r="K105" s="11" t="s">
        <v>70</v>
      </c>
      <c r="L105" s="11" t="s">
        <v>47</v>
      </c>
      <c r="M105" s="11" t="s">
        <v>64</v>
      </c>
      <c r="N105" s="11"/>
      <c r="O105" s="12"/>
      <c r="P105" s="12"/>
    </row>
    <row r="106" customFormat="false" ht="23.85" hidden="false" customHeight="false" outlineLevel="0" collapsed="false">
      <c r="A106" s="11" t="s">
        <v>606</v>
      </c>
      <c r="B106" s="11" t="s">
        <v>33</v>
      </c>
      <c r="C106" s="11" t="s">
        <v>607</v>
      </c>
      <c r="D106" s="11" t="s">
        <v>608</v>
      </c>
      <c r="E106" s="11" t="s">
        <v>143</v>
      </c>
      <c r="F106" s="11" t="s">
        <v>609</v>
      </c>
      <c r="G106" s="11" t="s">
        <v>610</v>
      </c>
      <c r="H106" s="11" t="s">
        <v>55</v>
      </c>
      <c r="I106" s="11" t="s">
        <v>611</v>
      </c>
      <c r="J106" s="11" t="s">
        <v>262</v>
      </c>
      <c r="K106" s="11" t="s">
        <v>70</v>
      </c>
      <c r="L106" s="11" t="s">
        <v>46</v>
      </c>
      <c r="M106" s="11" t="s">
        <v>63</v>
      </c>
      <c r="N106" s="11"/>
      <c r="O106" s="12"/>
      <c r="P106" s="12"/>
    </row>
    <row r="107" customFormat="false" ht="15" hidden="false" customHeight="false" outlineLevel="0" collapsed="false">
      <c r="A107" s="11" t="s">
        <v>612</v>
      </c>
      <c r="B107" s="11" t="s">
        <v>33</v>
      </c>
      <c r="C107" s="11" t="s">
        <v>613</v>
      </c>
      <c r="D107" s="11" t="s">
        <v>614</v>
      </c>
      <c r="E107" s="11" t="s">
        <v>233</v>
      </c>
      <c r="F107" s="11" t="s">
        <v>125</v>
      </c>
      <c r="G107" s="11" t="s">
        <v>610</v>
      </c>
      <c r="H107" s="11" t="s">
        <v>55</v>
      </c>
      <c r="I107" s="11" t="s">
        <v>615</v>
      </c>
      <c r="J107" s="11" t="s">
        <v>471</v>
      </c>
      <c r="K107" s="11" t="s">
        <v>70</v>
      </c>
      <c r="L107" s="11" t="s">
        <v>48</v>
      </c>
      <c r="M107" s="11" t="s">
        <v>63</v>
      </c>
      <c r="N107" s="11"/>
      <c r="O107" s="12"/>
      <c r="P107" s="12"/>
    </row>
    <row r="108" customFormat="false" ht="15" hidden="false" customHeight="false" outlineLevel="0" collapsed="false">
      <c r="A108" s="11" t="s">
        <v>616</v>
      </c>
      <c r="B108" s="11" t="s">
        <v>33</v>
      </c>
      <c r="C108" s="11" t="s">
        <v>617</v>
      </c>
      <c r="D108" s="11"/>
      <c r="E108" s="11" t="s">
        <v>143</v>
      </c>
      <c r="F108" s="11" t="s">
        <v>618</v>
      </c>
      <c r="G108" s="11" t="s">
        <v>619</v>
      </c>
      <c r="H108" s="11" t="s">
        <v>59</v>
      </c>
      <c r="I108" s="11" t="s">
        <v>620</v>
      </c>
      <c r="J108" s="11" t="s">
        <v>262</v>
      </c>
      <c r="K108" s="11" t="s">
        <v>70</v>
      </c>
      <c r="L108" s="11" t="s">
        <v>47</v>
      </c>
      <c r="M108" s="11" t="s">
        <v>64</v>
      </c>
      <c r="N108" s="11" t="s">
        <v>621</v>
      </c>
      <c r="O108" s="12"/>
      <c r="P108" s="12"/>
    </row>
    <row r="109" customFormat="false" ht="15" hidden="false" customHeight="false" outlineLevel="0" collapsed="false">
      <c r="A109" s="11" t="s">
        <v>622</v>
      </c>
      <c r="B109" s="11" t="s">
        <v>33</v>
      </c>
      <c r="C109" s="11" t="s">
        <v>623</v>
      </c>
      <c r="D109" s="11"/>
      <c r="E109" s="11" t="s">
        <v>143</v>
      </c>
      <c r="F109" s="11" t="s">
        <v>89</v>
      </c>
      <c r="G109" s="11" t="s">
        <v>624</v>
      </c>
      <c r="H109" s="11" t="s">
        <v>57</v>
      </c>
      <c r="I109" s="11" t="s">
        <v>625</v>
      </c>
      <c r="J109" s="11" t="s">
        <v>262</v>
      </c>
      <c r="K109" s="11" t="s">
        <v>70</v>
      </c>
      <c r="L109" s="11" t="s">
        <v>48</v>
      </c>
      <c r="M109" s="11" t="s">
        <v>64</v>
      </c>
      <c r="N109" s="11"/>
      <c r="O109" s="12"/>
      <c r="P109" s="12"/>
    </row>
    <row r="110" customFormat="false" ht="23.85" hidden="false" customHeight="false" outlineLevel="0" collapsed="false">
      <c r="A110" s="11" t="s">
        <v>626</v>
      </c>
      <c r="B110" s="11" t="s">
        <v>33</v>
      </c>
      <c r="C110" s="11" t="s">
        <v>627</v>
      </c>
      <c r="D110" s="11"/>
      <c r="E110" s="11" t="s">
        <v>233</v>
      </c>
      <c r="F110" s="11" t="s">
        <v>628</v>
      </c>
      <c r="G110" s="11" t="s">
        <v>629</v>
      </c>
      <c r="H110" s="11" t="s">
        <v>53</v>
      </c>
      <c r="I110" s="11" t="s">
        <v>630</v>
      </c>
      <c r="J110" s="11" t="s">
        <v>631</v>
      </c>
      <c r="K110" s="11" t="s">
        <v>72</v>
      </c>
      <c r="L110" s="11" t="s">
        <v>46</v>
      </c>
      <c r="M110" s="11" t="s">
        <v>62</v>
      </c>
      <c r="N110" s="11"/>
      <c r="O110" s="12"/>
      <c r="P110" s="12"/>
    </row>
    <row r="111" customFormat="false" ht="15" hidden="false" customHeight="false" outlineLevel="0" collapsed="false">
      <c r="A111" s="11" t="s">
        <v>632</v>
      </c>
      <c r="B111" s="11" t="s">
        <v>33</v>
      </c>
      <c r="C111" s="11" t="s">
        <v>633</v>
      </c>
      <c r="D111" s="11"/>
      <c r="E111" s="11" t="s">
        <v>143</v>
      </c>
      <c r="F111" s="11" t="s">
        <v>89</v>
      </c>
      <c r="G111" s="11" t="s">
        <v>610</v>
      </c>
      <c r="H111" s="11" t="s">
        <v>55</v>
      </c>
      <c r="I111" s="11" t="s">
        <v>634</v>
      </c>
      <c r="J111" s="11" t="s">
        <v>262</v>
      </c>
      <c r="K111" s="11" t="s">
        <v>70</v>
      </c>
      <c r="L111" s="11" t="s">
        <v>48</v>
      </c>
      <c r="M111" s="11" t="s">
        <v>63</v>
      </c>
      <c r="N111" s="11"/>
      <c r="O111" s="12"/>
      <c r="P111" s="12"/>
    </row>
    <row r="112" customFormat="false" ht="35.05" hidden="false" customHeight="false" outlineLevel="0" collapsed="false">
      <c r="A112" s="11" t="s">
        <v>635</v>
      </c>
      <c r="B112" s="11" t="s">
        <v>34</v>
      </c>
      <c r="C112" s="11" t="s">
        <v>636</v>
      </c>
      <c r="D112" s="11"/>
      <c r="E112" s="11" t="s">
        <v>295</v>
      </c>
      <c r="F112" s="11" t="s">
        <v>637</v>
      </c>
      <c r="G112" s="11" t="s">
        <v>638</v>
      </c>
      <c r="H112" s="11" t="s">
        <v>52</v>
      </c>
      <c r="I112" s="11" t="s">
        <v>639</v>
      </c>
      <c r="J112" s="11" t="s">
        <v>640</v>
      </c>
      <c r="K112" s="11" t="s">
        <v>72</v>
      </c>
      <c r="L112" s="11" t="s">
        <v>46</v>
      </c>
      <c r="M112" s="11" t="s">
        <v>61</v>
      </c>
      <c r="N112" s="11" t="s">
        <v>641</v>
      </c>
      <c r="O112" s="12"/>
      <c r="P112" s="12"/>
    </row>
    <row r="113" customFormat="false" ht="15" hidden="false" customHeight="false" outlineLevel="0" collapsed="false">
      <c r="A113" s="11" t="s">
        <v>642</v>
      </c>
      <c r="B113" s="11" t="s">
        <v>34</v>
      </c>
      <c r="C113" s="11" t="s">
        <v>643</v>
      </c>
      <c r="D113" s="11"/>
      <c r="E113" s="11" t="s">
        <v>143</v>
      </c>
      <c r="F113" s="11" t="s">
        <v>637</v>
      </c>
      <c r="G113" s="11" t="s">
        <v>644</v>
      </c>
      <c r="H113" s="11" t="s">
        <v>52</v>
      </c>
      <c r="I113" s="11" t="s">
        <v>645</v>
      </c>
      <c r="J113" s="11" t="s">
        <v>646</v>
      </c>
      <c r="K113" s="11" t="s">
        <v>72</v>
      </c>
      <c r="L113" s="11" t="s">
        <v>46</v>
      </c>
      <c r="M113" s="11" t="s">
        <v>61</v>
      </c>
      <c r="N113" s="11"/>
      <c r="O113" s="12"/>
      <c r="P113" s="12"/>
    </row>
    <row r="114" customFormat="false" ht="15" hidden="false" customHeight="false" outlineLevel="0" collapsed="false">
      <c r="A114" s="11" t="s">
        <v>647</v>
      </c>
      <c r="B114" s="11" t="s">
        <v>34</v>
      </c>
      <c r="C114" s="11" t="s">
        <v>648</v>
      </c>
      <c r="D114" s="11"/>
      <c r="E114" s="11" t="s">
        <v>143</v>
      </c>
      <c r="F114" s="11" t="s">
        <v>637</v>
      </c>
      <c r="G114" s="11" t="s">
        <v>644</v>
      </c>
      <c r="H114" s="11" t="s">
        <v>52</v>
      </c>
      <c r="I114" s="11" t="s">
        <v>649</v>
      </c>
      <c r="J114" s="11" t="s">
        <v>650</v>
      </c>
      <c r="K114" s="11" t="s">
        <v>72</v>
      </c>
      <c r="L114" s="11" t="s">
        <v>47</v>
      </c>
      <c r="M114" s="11" t="s">
        <v>61</v>
      </c>
      <c r="N114" s="11"/>
      <c r="O114" s="12"/>
      <c r="P114" s="12"/>
    </row>
    <row r="115" customFormat="false" ht="23.85" hidden="false" customHeight="false" outlineLevel="0" collapsed="false">
      <c r="A115" s="11" t="s">
        <v>651</v>
      </c>
      <c r="B115" s="11" t="s">
        <v>34</v>
      </c>
      <c r="C115" s="11" t="s">
        <v>652</v>
      </c>
      <c r="D115" s="11"/>
      <c r="E115" s="11" t="s">
        <v>295</v>
      </c>
      <c r="F115" s="11" t="s">
        <v>637</v>
      </c>
      <c r="G115" s="11" t="s">
        <v>644</v>
      </c>
      <c r="H115" s="11" t="s">
        <v>52</v>
      </c>
      <c r="I115" s="11" t="s">
        <v>653</v>
      </c>
      <c r="J115" s="11" t="s">
        <v>654</v>
      </c>
      <c r="K115" s="11" t="s">
        <v>72</v>
      </c>
      <c r="L115" s="11" t="s">
        <v>47</v>
      </c>
      <c r="M115" s="11" t="s">
        <v>61</v>
      </c>
      <c r="N115" s="11"/>
      <c r="O115" s="12"/>
      <c r="P115" s="12"/>
    </row>
    <row r="116" customFormat="false" ht="15" hidden="false" customHeight="false" outlineLevel="0" collapsed="false">
      <c r="A116" s="11" t="s">
        <v>655</v>
      </c>
      <c r="B116" s="11" t="s">
        <v>34</v>
      </c>
      <c r="C116" s="11" t="s">
        <v>656</v>
      </c>
      <c r="D116" s="11" t="s">
        <v>657</v>
      </c>
      <c r="E116" s="11" t="s">
        <v>143</v>
      </c>
      <c r="F116" s="11" t="s">
        <v>628</v>
      </c>
      <c r="G116" s="11" t="s">
        <v>658</v>
      </c>
      <c r="H116" s="11" t="s">
        <v>59</v>
      </c>
      <c r="I116" s="11" t="s">
        <v>659</v>
      </c>
      <c r="J116" s="11" t="s">
        <v>262</v>
      </c>
      <c r="K116" s="11" t="s">
        <v>70</v>
      </c>
      <c r="L116" s="11" t="s">
        <v>48</v>
      </c>
      <c r="M116" s="11" t="s">
        <v>64</v>
      </c>
      <c r="N116" s="11"/>
      <c r="O116" s="12"/>
      <c r="P116" s="12"/>
    </row>
    <row r="117" customFormat="false" ht="15" hidden="false" customHeight="false" outlineLevel="0" collapsed="false">
      <c r="A117" s="11" t="s">
        <v>660</v>
      </c>
      <c r="B117" s="11" t="s">
        <v>34</v>
      </c>
      <c r="C117" s="11" t="s">
        <v>661</v>
      </c>
      <c r="D117" s="11"/>
      <c r="E117" s="11" t="s">
        <v>143</v>
      </c>
      <c r="F117" s="11" t="s">
        <v>662</v>
      </c>
      <c r="G117" s="11" t="s">
        <v>469</v>
      </c>
      <c r="H117" s="11" t="s">
        <v>59</v>
      </c>
      <c r="I117" s="11" t="s">
        <v>387</v>
      </c>
      <c r="J117" s="11" t="s">
        <v>262</v>
      </c>
      <c r="K117" s="11" t="s">
        <v>70</v>
      </c>
      <c r="L117" s="11" t="s">
        <v>46</v>
      </c>
      <c r="M117" s="11" t="s">
        <v>64</v>
      </c>
      <c r="N117" s="11"/>
      <c r="O117" s="12"/>
      <c r="P117" s="12"/>
    </row>
    <row r="118" customFormat="false" ht="46.25" hidden="false" customHeight="false" outlineLevel="0" collapsed="false">
      <c r="A118" s="11" t="s">
        <v>663</v>
      </c>
      <c r="B118" s="11" t="s">
        <v>34</v>
      </c>
      <c r="C118" s="11" t="s">
        <v>664</v>
      </c>
      <c r="D118" s="11"/>
      <c r="E118" s="11" t="s">
        <v>88</v>
      </c>
      <c r="F118" s="11" t="s">
        <v>637</v>
      </c>
      <c r="G118" s="11" t="s">
        <v>644</v>
      </c>
      <c r="H118" s="11" t="s">
        <v>52</v>
      </c>
      <c r="I118" s="11" t="s">
        <v>665</v>
      </c>
      <c r="J118" s="11" t="s">
        <v>666</v>
      </c>
      <c r="K118" s="11" t="s">
        <v>72</v>
      </c>
      <c r="L118" s="11" t="s">
        <v>46</v>
      </c>
      <c r="M118" s="11" t="s">
        <v>61</v>
      </c>
      <c r="N118" s="11"/>
      <c r="O118" s="12"/>
      <c r="P118" s="12"/>
    </row>
    <row r="119" customFormat="false" ht="15" hidden="false" customHeight="false" outlineLevel="0" collapsed="false">
      <c r="A119" s="11" t="s">
        <v>667</v>
      </c>
      <c r="B119" s="11" t="s">
        <v>34</v>
      </c>
      <c r="C119" s="11" t="s">
        <v>668</v>
      </c>
      <c r="D119" s="11"/>
      <c r="E119" s="11" t="s">
        <v>519</v>
      </c>
      <c r="F119" s="11" t="s">
        <v>637</v>
      </c>
      <c r="G119" s="11" t="s">
        <v>644</v>
      </c>
      <c r="H119" s="11" t="s">
        <v>52</v>
      </c>
      <c r="I119" s="11" t="s">
        <v>669</v>
      </c>
      <c r="J119" s="11" t="s">
        <v>670</v>
      </c>
      <c r="K119" s="11" t="s">
        <v>72</v>
      </c>
      <c r="L119" s="11" t="s">
        <v>47</v>
      </c>
      <c r="M119" s="11" t="s">
        <v>61</v>
      </c>
      <c r="N119" s="11"/>
      <c r="O119" s="12"/>
      <c r="P119" s="12"/>
    </row>
    <row r="120" customFormat="false" ht="15" hidden="false" customHeight="false" outlineLevel="0" collapsed="false">
      <c r="A120" s="11" t="s">
        <v>671</v>
      </c>
      <c r="B120" s="11" t="s">
        <v>34</v>
      </c>
      <c r="C120" s="11" t="s">
        <v>672</v>
      </c>
      <c r="D120" s="11" t="s">
        <v>673</v>
      </c>
      <c r="E120" s="11" t="s">
        <v>228</v>
      </c>
      <c r="F120" s="11" t="s">
        <v>674</v>
      </c>
      <c r="G120" s="11" t="s">
        <v>675</v>
      </c>
      <c r="H120" s="11" t="s">
        <v>57</v>
      </c>
      <c r="I120" s="11" t="s">
        <v>676</v>
      </c>
      <c r="J120" s="11" t="s">
        <v>262</v>
      </c>
      <c r="K120" s="11" t="s">
        <v>70</v>
      </c>
      <c r="L120" s="11" t="s">
        <v>46</v>
      </c>
      <c r="M120" s="11" t="s">
        <v>64</v>
      </c>
      <c r="N120" s="11"/>
      <c r="O120" s="12"/>
      <c r="P120" s="12"/>
    </row>
    <row r="121" customFormat="false" ht="23.85" hidden="false" customHeight="false" outlineLevel="0" collapsed="false">
      <c r="A121" s="11" t="s">
        <v>677</v>
      </c>
      <c r="B121" s="11" t="s">
        <v>34</v>
      </c>
      <c r="C121" s="11" t="s">
        <v>678</v>
      </c>
      <c r="D121" s="11"/>
      <c r="E121" s="11" t="s">
        <v>143</v>
      </c>
      <c r="F121" s="11" t="s">
        <v>674</v>
      </c>
      <c r="G121" s="11" t="s">
        <v>469</v>
      </c>
      <c r="H121" s="11" t="s">
        <v>55</v>
      </c>
      <c r="I121" s="11" t="s">
        <v>679</v>
      </c>
      <c r="J121" s="11" t="s">
        <v>262</v>
      </c>
      <c r="K121" s="11" t="s">
        <v>70</v>
      </c>
      <c r="L121" s="11" t="s">
        <v>48</v>
      </c>
      <c r="M121" s="11" t="s">
        <v>63</v>
      </c>
      <c r="N121" s="11"/>
      <c r="O121" s="12"/>
      <c r="P121" s="12"/>
    </row>
    <row r="122" customFormat="false" ht="23.85" hidden="false" customHeight="false" outlineLevel="0" collapsed="false">
      <c r="A122" s="11" t="s">
        <v>680</v>
      </c>
      <c r="B122" s="11" t="s">
        <v>34</v>
      </c>
      <c r="C122" s="11" t="s">
        <v>681</v>
      </c>
      <c r="D122" s="11" t="s">
        <v>682</v>
      </c>
      <c r="E122" s="11" t="s">
        <v>88</v>
      </c>
      <c r="F122" s="11" t="s">
        <v>637</v>
      </c>
      <c r="G122" s="11" t="s">
        <v>644</v>
      </c>
      <c r="H122" s="11" t="s">
        <v>52</v>
      </c>
      <c r="I122" s="11" t="s">
        <v>683</v>
      </c>
      <c r="J122" s="11" t="s">
        <v>684</v>
      </c>
      <c r="K122" s="11" t="s">
        <v>72</v>
      </c>
      <c r="L122" s="11" t="s">
        <v>47</v>
      </c>
      <c r="M122" s="11" t="s">
        <v>61</v>
      </c>
      <c r="N122" s="11"/>
      <c r="O122" s="12"/>
      <c r="P122" s="12"/>
    </row>
    <row r="123" customFormat="false" ht="35.05" hidden="false" customHeight="false" outlineLevel="0" collapsed="false">
      <c r="A123" s="11" t="s">
        <v>685</v>
      </c>
      <c r="B123" s="11" t="s">
        <v>34</v>
      </c>
      <c r="C123" s="11" t="s">
        <v>686</v>
      </c>
      <c r="D123" s="11" t="s">
        <v>687</v>
      </c>
      <c r="E123" s="11" t="s">
        <v>688</v>
      </c>
      <c r="F123" s="11" t="s">
        <v>674</v>
      </c>
      <c r="G123" s="11" t="s">
        <v>689</v>
      </c>
      <c r="H123" s="11" t="s">
        <v>52</v>
      </c>
      <c r="I123" s="11" t="s">
        <v>690</v>
      </c>
      <c r="J123" s="11" t="s">
        <v>691</v>
      </c>
      <c r="K123" s="11" t="s">
        <v>72</v>
      </c>
      <c r="L123" s="11" t="s">
        <v>46</v>
      </c>
      <c r="M123" s="11" t="s">
        <v>61</v>
      </c>
      <c r="N123" s="11"/>
      <c r="O123" s="12"/>
      <c r="P123" s="12"/>
    </row>
    <row r="124" customFormat="false" ht="23.85" hidden="false" customHeight="false" outlineLevel="0" collapsed="false">
      <c r="A124" s="11" t="s">
        <v>692</v>
      </c>
      <c r="B124" s="11" t="s">
        <v>34</v>
      </c>
      <c r="C124" s="11" t="s">
        <v>693</v>
      </c>
      <c r="D124" s="11" t="s">
        <v>694</v>
      </c>
      <c r="E124" s="11" t="s">
        <v>143</v>
      </c>
      <c r="F124" s="11" t="s">
        <v>674</v>
      </c>
      <c r="G124" s="11" t="s">
        <v>644</v>
      </c>
      <c r="H124" s="11" t="s">
        <v>52</v>
      </c>
      <c r="I124" s="11" t="s">
        <v>695</v>
      </c>
      <c r="J124" s="11" t="s">
        <v>696</v>
      </c>
      <c r="K124" s="11" t="s">
        <v>72</v>
      </c>
      <c r="L124" s="11" t="s">
        <v>46</v>
      </c>
      <c r="M124" s="11" t="s">
        <v>61</v>
      </c>
      <c r="N124" s="11"/>
      <c r="O124" s="12"/>
      <c r="P124" s="12"/>
    </row>
    <row r="125" customFormat="false" ht="15" hidden="false" customHeight="false" outlineLevel="0" collapsed="false">
      <c r="A125" s="11" t="s">
        <v>697</v>
      </c>
      <c r="B125" s="11" t="s">
        <v>34</v>
      </c>
      <c r="C125" s="11" t="s">
        <v>698</v>
      </c>
      <c r="D125" s="11" t="s">
        <v>699</v>
      </c>
      <c r="E125" s="11" t="s">
        <v>143</v>
      </c>
      <c r="F125" s="11" t="s">
        <v>700</v>
      </c>
      <c r="G125" s="11" t="s">
        <v>644</v>
      </c>
      <c r="H125" s="11" t="s">
        <v>52</v>
      </c>
      <c r="I125" s="11" t="s">
        <v>701</v>
      </c>
      <c r="J125" s="11" t="s">
        <v>702</v>
      </c>
      <c r="K125" s="11" t="s">
        <v>72</v>
      </c>
      <c r="L125" s="11" t="s">
        <v>47</v>
      </c>
      <c r="M125" s="11" t="s">
        <v>61</v>
      </c>
      <c r="N125" s="11"/>
      <c r="O125" s="12"/>
      <c r="P125" s="12"/>
    </row>
    <row r="126" customFormat="false" ht="46.25" hidden="false" customHeight="false" outlineLevel="0" collapsed="false">
      <c r="A126" s="11" t="s">
        <v>703</v>
      </c>
      <c r="B126" s="11" t="s">
        <v>34</v>
      </c>
      <c r="C126" s="11" t="s">
        <v>704</v>
      </c>
      <c r="D126" s="11" t="s">
        <v>705</v>
      </c>
      <c r="E126" s="11" t="s">
        <v>295</v>
      </c>
      <c r="F126" s="11" t="s">
        <v>706</v>
      </c>
      <c r="G126" s="11" t="s">
        <v>644</v>
      </c>
      <c r="H126" s="11" t="s">
        <v>52</v>
      </c>
      <c r="I126" s="11" t="s">
        <v>707</v>
      </c>
      <c r="J126" s="11" t="s">
        <v>708</v>
      </c>
      <c r="K126" s="11" t="s">
        <v>72</v>
      </c>
      <c r="L126" s="11" t="s">
        <v>47</v>
      </c>
      <c r="M126" s="11" t="s">
        <v>61</v>
      </c>
      <c r="N126" s="11"/>
      <c r="O126" s="12"/>
      <c r="P126" s="12"/>
    </row>
    <row r="127" customFormat="false" ht="23.85" hidden="false" customHeight="false" outlineLevel="0" collapsed="false">
      <c r="A127" s="11" t="s">
        <v>709</v>
      </c>
      <c r="B127" s="11" t="s">
        <v>34</v>
      </c>
      <c r="C127" s="11" t="s">
        <v>710</v>
      </c>
      <c r="D127" s="11"/>
      <c r="E127" s="11" t="s">
        <v>143</v>
      </c>
      <c r="F127" s="11" t="s">
        <v>706</v>
      </c>
      <c r="G127" s="11" t="s">
        <v>644</v>
      </c>
      <c r="H127" s="11" t="s">
        <v>52</v>
      </c>
      <c r="I127" s="11" t="s">
        <v>711</v>
      </c>
      <c r="J127" s="11" t="s">
        <v>712</v>
      </c>
      <c r="K127" s="11" t="s">
        <v>72</v>
      </c>
      <c r="L127" s="11" t="s">
        <v>48</v>
      </c>
      <c r="M127" s="11" t="s">
        <v>61</v>
      </c>
      <c r="N127" s="11"/>
      <c r="O127" s="12"/>
      <c r="P127" s="12"/>
    </row>
    <row r="128" customFormat="false" ht="15" hidden="false" customHeight="false" outlineLevel="0" collapsed="false">
      <c r="A128" s="11" t="s">
        <v>713</v>
      </c>
      <c r="B128" s="11" t="s">
        <v>34</v>
      </c>
      <c r="C128" s="11" t="s">
        <v>714</v>
      </c>
      <c r="D128" s="11" t="s">
        <v>715</v>
      </c>
      <c r="E128" s="11" t="s">
        <v>143</v>
      </c>
      <c r="F128" s="11" t="s">
        <v>137</v>
      </c>
      <c r="G128" s="11" t="s">
        <v>469</v>
      </c>
      <c r="H128" s="11" t="s">
        <v>55</v>
      </c>
      <c r="I128" s="11" t="s">
        <v>716</v>
      </c>
      <c r="J128" s="11" t="s">
        <v>262</v>
      </c>
      <c r="K128" s="11" t="s">
        <v>70</v>
      </c>
      <c r="L128" s="11" t="s">
        <v>46</v>
      </c>
      <c r="M128" s="11" t="s">
        <v>63</v>
      </c>
      <c r="N128" s="11" t="s">
        <v>717</v>
      </c>
      <c r="O128" s="12"/>
      <c r="P128" s="12"/>
    </row>
    <row r="129" customFormat="false" ht="15" hidden="false" customHeight="false" outlineLevel="0" collapsed="false">
      <c r="A129" s="11" t="s">
        <v>718</v>
      </c>
      <c r="B129" s="11" t="s">
        <v>34</v>
      </c>
      <c r="C129" s="11" t="s">
        <v>719</v>
      </c>
      <c r="D129" s="11"/>
      <c r="E129" s="11" t="s">
        <v>143</v>
      </c>
      <c r="F129" s="11" t="s">
        <v>674</v>
      </c>
      <c r="G129" s="11" t="s">
        <v>644</v>
      </c>
      <c r="H129" s="11" t="s">
        <v>52</v>
      </c>
      <c r="I129" s="11" t="s">
        <v>720</v>
      </c>
      <c r="J129" s="11" t="s">
        <v>721</v>
      </c>
      <c r="K129" s="11" t="s">
        <v>72</v>
      </c>
      <c r="L129" s="11" t="s">
        <v>48</v>
      </c>
      <c r="M129" s="11" t="s">
        <v>61</v>
      </c>
      <c r="N129" s="11"/>
      <c r="O129" s="12"/>
      <c r="P129" s="12"/>
    </row>
    <row r="130" customFormat="false" ht="15" hidden="false" customHeight="false" outlineLevel="0" collapsed="false">
      <c r="A130" s="11" t="s">
        <v>722</v>
      </c>
      <c r="B130" s="11" t="s">
        <v>34</v>
      </c>
      <c r="C130" s="11" t="s">
        <v>723</v>
      </c>
      <c r="D130" s="11" t="s">
        <v>724</v>
      </c>
      <c r="E130" s="11" t="s">
        <v>143</v>
      </c>
      <c r="F130" s="11" t="s">
        <v>674</v>
      </c>
      <c r="G130" s="11" t="s">
        <v>644</v>
      </c>
      <c r="H130" s="11" t="s">
        <v>52</v>
      </c>
      <c r="I130" s="11" t="s">
        <v>725</v>
      </c>
      <c r="J130" s="11" t="s">
        <v>726</v>
      </c>
      <c r="K130" s="11" t="s">
        <v>72</v>
      </c>
      <c r="L130" s="11" t="s">
        <v>47</v>
      </c>
      <c r="M130" s="11" t="s">
        <v>61</v>
      </c>
      <c r="N130" s="11"/>
      <c r="O130" s="12"/>
      <c r="P130" s="12"/>
    </row>
    <row r="131" customFormat="false" ht="35.05" hidden="false" customHeight="false" outlineLevel="0" collapsed="false">
      <c r="A131" s="11" t="s">
        <v>727</v>
      </c>
      <c r="B131" s="11" t="s">
        <v>35</v>
      </c>
      <c r="C131" s="11" t="s">
        <v>728</v>
      </c>
      <c r="D131" s="11" t="s">
        <v>729</v>
      </c>
      <c r="E131" s="11" t="s">
        <v>143</v>
      </c>
      <c r="F131" s="11" t="s">
        <v>730</v>
      </c>
      <c r="G131" s="11" t="s">
        <v>731</v>
      </c>
      <c r="H131" s="11" t="s">
        <v>55</v>
      </c>
      <c r="I131" s="11" t="s">
        <v>732</v>
      </c>
      <c r="J131" s="11" t="s">
        <v>262</v>
      </c>
      <c r="K131" s="11" t="s">
        <v>70</v>
      </c>
      <c r="L131" s="11" t="s">
        <v>46</v>
      </c>
      <c r="M131" s="11" t="s">
        <v>63</v>
      </c>
      <c r="N131" s="11"/>
      <c r="O131" s="12"/>
      <c r="P131" s="12"/>
    </row>
    <row r="132" customFormat="false" ht="23.85" hidden="false" customHeight="false" outlineLevel="0" collapsed="false">
      <c r="A132" s="11" t="s">
        <v>733</v>
      </c>
      <c r="B132" s="11" t="s">
        <v>35</v>
      </c>
      <c r="C132" s="11" t="s">
        <v>734</v>
      </c>
      <c r="D132" s="11" t="s">
        <v>735</v>
      </c>
      <c r="E132" s="11" t="s">
        <v>143</v>
      </c>
      <c r="F132" s="11" t="s">
        <v>89</v>
      </c>
      <c r="G132" s="11" t="s">
        <v>736</v>
      </c>
      <c r="H132" s="11" t="s">
        <v>57</v>
      </c>
      <c r="I132" s="11" t="s">
        <v>737</v>
      </c>
      <c r="J132" s="11" t="s">
        <v>738</v>
      </c>
      <c r="K132" s="11" t="s">
        <v>70</v>
      </c>
      <c r="L132" s="11" t="s">
        <v>46</v>
      </c>
      <c r="M132" s="11" t="s">
        <v>64</v>
      </c>
      <c r="N132" s="11"/>
      <c r="O132" s="12"/>
      <c r="P132" s="12"/>
    </row>
    <row r="133" customFormat="false" ht="15" hidden="false" customHeight="false" outlineLevel="0" collapsed="false">
      <c r="A133" s="11" t="s">
        <v>739</v>
      </c>
      <c r="B133" s="11" t="s">
        <v>35</v>
      </c>
      <c r="C133" s="11" t="s">
        <v>740</v>
      </c>
      <c r="D133" s="11" t="s">
        <v>741</v>
      </c>
      <c r="E133" s="11" t="s">
        <v>742</v>
      </c>
      <c r="F133" s="11" t="s">
        <v>89</v>
      </c>
      <c r="G133" s="11" t="s">
        <v>743</v>
      </c>
      <c r="H133" s="11" t="s">
        <v>59</v>
      </c>
      <c r="I133" s="11" t="s">
        <v>744</v>
      </c>
      <c r="J133" s="11" t="s">
        <v>262</v>
      </c>
      <c r="K133" s="11" t="s">
        <v>70</v>
      </c>
      <c r="L133" s="11" t="s">
        <v>47</v>
      </c>
      <c r="M133" s="11" t="s">
        <v>64</v>
      </c>
      <c r="N133" s="11"/>
      <c r="O133" s="12"/>
      <c r="P133" s="12"/>
    </row>
    <row r="134" customFormat="false" ht="15" hidden="false" customHeight="false" outlineLevel="0" collapsed="false">
      <c r="A134" s="11" t="s">
        <v>745</v>
      </c>
      <c r="B134" s="11" t="s">
        <v>35</v>
      </c>
      <c r="C134" s="11" t="s">
        <v>746</v>
      </c>
      <c r="D134" s="11" t="s">
        <v>747</v>
      </c>
      <c r="E134" s="11" t="s">
        <v>143</v>
      </c>
      <c r="F134" s="11" t="s">
        <v>89</v>
      </c>
      <c r="G134" s="11" t="s">
        <v>748</v>
      </c>
      <c r="H134" s="11" t="s">
        <v>59</v>
      </c>
      <c r="I134" s="11" t="s">
        <v>749</v>
      </c>
      <c r="J134" s="11" t="s">
        <v>262</v>
      </c>
      <c r="K134" s="11" t="s">
        <v>70</v>
      </c>
      <c r="L134" s="11" t="s">
        <v>47</v>
      </c>
      <c r="M134" s="11" t="s">
        <v>64</v>
      </c>
      <c r="N134" s="11"/>
      <c r="O134" s="12"/>
      <c r="P134" s="12"/>
    </row>
    <row r="135" customFormat="false" ht="15" hidden="false" customHeight="false" outlineLevel="0" collapsed="false">
      <c r="A135" s="11" t="s">
        <v>750</v>
      </c>
      <c r="B135" s="11" t="s">
        <v>35</v>
      </c>
      <c r="C135" s="11" t="s">
        <v>751</v>
      </c>
      <c r="D135" s="11" t="s">
        <v>752</v>
      </c>
      <c r="E135" s="11" t="s">
        <v>102</v>
      </c>
      <c r="F135" s="11" t="s">
        <v>89</v>
      </c>
      <c r="G135" s="11" t="s">
        <v>753</v>
      </c>
      <c r="H135" s="11" t="s">
        <v>56</v>
      </c>
      <c r="I135" s="11" t="s">
        <v>754</v>
      </c>
      <c r="J135" s="11" t="s">
        <v>471</v>
      </c>
      <c r="K135" s="11" t="s">
        <v>70</v>
      </c>
      <c r="L135" s="11" t="s">
        <v>46</v>
      </c>
      <c r="M135" s="11" t="s">
        <v>65</v>
      </c>
      <c r="N135" s="11" t="s">
        <v>755</v>
      </c>
      <c r="O135" s="12"/>
      <c r="P135" s="12"/>
    </row>
    <row r="136" customFormat="false" ht="23.85" hidden="false" customHeight="false" outlineLevel="0" collapsed="false">
      <c r="A136" s="11" t="s">
        <v>756</v>
      </c>
      <c r="B136" s="11" t="s">
        <v>35</v>
      </c>
      <c r="C136" s="11" t="s">
        <v>757</v>
      </c>
      <c r="D136" s="11" t="s">
        <v>758</v>
      </c>
      <c r="E136" s="11" t="s">
        <v>102</v>
      </c>
      <c r="F136" s="11" t="s">
        <v>759</v>
      </c>
      <c r="G136" s="11" t="s">
        <v>760</v>
      </c>
      <c r="H136" s="11" t="s">
        <v>55</v>
      </c>
      <c r="I136" s="11" t="s">
        <v>761</v>
      </c>
      <c r="J136" s="11" t="s">
        <v>471</v>
      </c>
      <c r="K136" s="11" t="s">
        <v>70</v>
      </c>
      <c r="L136" s="11" t="s">
        <v>47</v>
      </c>
      <c r="M136" s="11" t="s">
        <v>63</v>
      </c>
      <c r="N136" s="11"/>
      <c r="O136" s="12"/>
      <c r="P136" s="12"/>
    </row>
    <row r="137" customFormat="false" ht="15" hidden="false" customHeight="false" outlineLevel="0" collapsed="false">
      <c r="A137" s="11" t="s">
        <v>762</v>
      </c>
      <c r="B137" s="11" t="s">
        <v>35</v>
      </c>
      <c r="C137" s="11" t="s">
        <v>763</v>
      </c>
      <c r="D137" s="11" t="s">
        <v>764</v>
      </c>
      <c r="E137" s="11" t="s">
        <v>493</v>
      </c>
      <c r="F137" s="11" t="s">
        <v>765</v>
      </c>
      <c r="G137" s="11" t="s">
        <v>469</v>
      </c>
      <c r="H137" s="11" t="s">
        <v>59</v>
      </c>
      <c r="I137" s="11" t="s">
        <v>766</v>
      </c>
      <c r="J137" s="11" t="s">
        <v>262</v>
      </c>
      <c r="K137" s="11" t="s">
        <v>70</v>
      </c>
      <c r="L137" s="11" t="s">
        <v>47</v>
      </c>
      <c r="M137" s="11" t="s">
        <v>64</v>
      </c>
      <c r="N137" s="11"/>
      <c r="O137" s="12"/>
      <c r="P137" s="12"/>
    </row>
    <row r="138" customFormat="false" ht="23.85" hidden="false" customHeight="false" outlineLevel="0" collapsed="false">
      <c r="A138" s="11" t="s">
        <v>767</v>
      </c>
      <c r="B138" s="11" t="s">
        <v>35</v>
      </c>
      <c r="C138" s="11" t="s">
        <v>768</v>
      </c>
      <c r="D138" s="11"/>
      <c r="E138" s="11" t="s">
        <v>519</v>
      </c>
      <c r="F138" s="11" t="s">
        <v>89</v>
      </c>
      <c r="G138" s="11" t="s">
        <v>769</v>
      </c>
      <c r="H138" s="11" t="s">
        <v>57</v>
      </c>
      <c r="I138" s="11" t="s">
        <v>770</v>
      </c>
      <c r="J138" s="11" t="s">
        <v>262</v>
      </c>
      <c r="K138" s="11" t="s">
        <v>70</v>
      </c>
      <c r="L138" s="11" t="s">
        <v>47</v>
      </c>
      <c r="M138" s="11" t="s">
        <v>64</v>
      </c>
      <c r="N138" s="11"/>
      <c r="O138" s="12"/>
      <c r="P138" s="12"/>
    </row>
    <row r="139" customFormat="false" ht="15" hidden="false" customHeight="false" outlineLevel="0" collapsed="false">
      <c r="A139" s="11" t="s">
        <v>771</v>
      </c>
      <c r="B139" s="11" t="s">
        <v>35</v>
      </c>
      <c r="C139" s="11" t="s">
        <v>772</v>
      </c>
      <c r="D139" s="11"/>
      <c r="E139" s="11" t="s">
        <v>468</v>
      </c>
      <c r="F139" s="11" t="s">
        <v>89</v>
      </c>
      <c r="G139" s="11" t="s">
        <v>773</v>
      </c>
      <c r="H139" s="11" t="s">
        <v>59</v>
      </c>
      <c r="I139" s="11" t="s">
        <v>774</v>
      </c>
      <c r="J139" s="11" t="s">
        <v>262</v>
      </c>
      <c r="K139" s="11" t="s">
        <v>70</v>
      </c>
      <c r="L139" s="11" t="s">
        <v>48</v>
      </c>
      <c r="M139" s="11" t="s">
        <v>64</v>
      </c>
      <c r="N139" s="11"/>
      <c r="O139" s="12"/>
      <c r="P139" s="12"/>
    </row>
    <row r="140" customFormat="false" ht="23.85" hidden="false" customHeight="false" outlineLevel="0" collapsed="false">
      <c r="A140" s="11" t="s">
        <v>775</v>
      </c>
      <c r="B140" s="11" t="s">
        <v>36</v>
      </c>
      <c r="C140" s="11" t="s">
        <v>776</v>
      </c>
      <c r="D140" s="11" t="s">
        <v>777</v>
      </c>
      <c r="E140" s="11" t="s">
        <v>778</v>
      </c>
      <c r="F140" s="11" t="s">
        <v>339</v>
      </c>
      <c r="G140" s="11" t="s">
        <v>779</v>
      </c>
      <c r="H140" s="11" t="s">
        <v>57</v>
      </c>
      <c r="I140" s="11" t="s">
        <v>780</v>
      </c>
      <c r="J140" s="11" t="s">
        <v>471</v>
      </c>
      <c r="K140" s="11" t="s">
        <v>70</v>
      </c>
      <c r="L140" s="11" t="s">
        <v>46</v>
      </c>
      <c r="M140" s="11" t="s">
        <v>64</v>
      </c>
      <c r="N140" s="11"/>
      <c r="O140" s="12"/>
      <c r="P140" s="12"/>
    </row>
    <row r="141" customFormat="false" ht="23.85" hidden="false" customHeight="false" outlineLevel="0" collapsed="false">
      <c r="A141" s="11" t="s">
        <v>781</v>
      </c>
      <c r="B141" s="11" t="s">
        <v>36</v>
      </c>
      <c r="C141" s="11" t="s">
        <v>782</v>
      </c>
      <c r="D141" s="11" t="s">
        <v>783</v>
      </c>
      <c r="E141" s="11" t="s">
        <v>784</v>
      </c>
      <c r="F141" s="11" t="s">
        <v>785</v>
      </c>
      <c r="G141" s="11" t="s">
        <v>786</v>
      </c>
      <c r="H141" s="11" t="s">
        <v>57</v>
      </c>
      <c r="I141" s="11" t="s">
        <v>787</v>
      </c>
      <c r="J141" s="11" t="s">
        <v>262</v>
      </c>
      <c r="K141" s="11" t="s">
        <v>70</v>
      </c>
      <c r="L141" s="11" t="s">
        <v>46</v>
      </c>
      <c r="M141" s="11" t="s">
        <v>64</v>
      </c>
      <c r="N141" s="11"/>
      <c r="O141" s="12"/>
      <c r="P141" s="12"/>
    </row>
    <row r="142" customFormat="false" ht="23.85" hidden="false" customHeight="false" outlineLevel="0" collapsed="false">
      <c r="A142" s="11" t="s">
        <v>788</v>
      </c>
      <c r="B142" s="11" t="s">
        <v>36</v>
      </c>
      <c r="C142" s="11" t="s">
        <v>789</v>
      </c>
      <c r="D142" s="11" t="s">
        <v>790</v>
      </c>
      <c r="E142" s="11" t="s">
        <v>791</v>
      </c>
      <c r="F142" s="11" t="s">
        <v>792</v>
      </c>
      <c r="G142" s="11" t="s">
        <v>793</v>
      </c>
      <c r="H142" s="11" t="s">
        <v>59</v>
      </c>
      <c r="I142" s="11" t="s">
        <v>794</v>
      </c>
      <c r="J142" s="11" t="s">
        <v>471</v>
      </c>
      <c r="K142" s="11" t="s">
        <v>70</v>
      </c>
      <c r="L142" s="11" t="s">
        <v>46</v>
      </c>
      <c r="M142" s="11" t="s">
        <v>64</v>
      </c>
      <c r="N142" s="11"/>
      <c r="O142" s="12"/>
      <c r="P142" s="12"/>
    </row>
    <row r="143" customFormat="false" ht="15" hidden="false" customHeight="false" outlineLevel="0" collapsed="false">
      <c r="A143" s="11" t="s">
        <v>795</v>
      </c>
      <c r="B143" s="11" t="s">
        <v>36</v>
      </c>
      <c r="C143" s="11" t="s">
        <v>796</v>
      </c>
      <c r="D143" s="11" t="s">
        <v>797</v>
      </c>
      <c r="E143" s="11" t="s">
        <v>493</v>
      </c>
      <c r="F143" s="11" t="s">
        <v>798</v>
      </c>
      <c r="G143" s="11" t="s">
        <v>799</v>
      </c>
      <c r="H143" s="11" t="s">
        <v>57</v>
      </c>
      <c r="I143" s="11" t="s">
        <v>800</v>
      </c>
      <c r="J143" s="11" t="s">
        <v>262</v>
      </c>
      <c r="K143" s="11" t="s">
        <v>70</v>
      </c>
      <c r="L143" s="11" t="s">
        <v>46</v>
      </c>
      <c r="M143" s="11" t="s">
        <v>64</v>
      </c>
      <c r="N143" s="11"/>
      <c r="O143" s="12"/>
      <c r="P143" s="12"/>
    </row>
    <row r="144" customFormat="false" ht="15" hidden="false" customHeight="false" outlineLevel="0" collapsed="false">
      <c r="A144" s="11" t="s">
        <v>801</v>
      </c>
      <c r="B144" s="11" t="s">
        <v>36</v>
      </c>
      <c r="C144" s="11" t="s">
        <v>802</v>
      </c>
      <c r="D144" s="11" t="s">
        <v>803</v>
      </c>
      <c r="E144" s="11" t="s">
        <v>143</v>
      </c>
      <c r="F144" s="11" t="s">
        <v>350</v>
      </c>
      <c r="G144" s="11" t="s">
        <v>804</v>
      </c>
      <c r="H144" s="11" t="s">
        <v>55</v>
      </c>
      <c r="I144" s="11" t="s">
        <v>805</v>
      </c>
      <c r="J144" s="11" t="s">
        <v>262</v>
      </c>
      <c r="K144" s="11" t="s">
        <v>70</v>
      </c>
      <c r="L144" s="11" t="s">
        <v>47</v>
      </c>
      <c r="M144" s="11" t="s">
        <v>63</v>
      </c>
      <c r="N144" s="11"/>
      <c r="O144" s="12"/>
      <c r="P144" s="12"/>
    </row>
    <row r="145" customFormat="false" ht="15" hidden="false" customHeight="false" outlineLevel="0" collapsed="false">
      <c r="A145" s="11" t="s">
        <v>806</v>
      </c>
      <c r="B145" s="11" t="s">
        <v>36</v>
      </c>
      <c r="C145" s="11" t="s">
        <v>807</v>
      </c>
      <c r="D145" s="11" t="s">
        <v>808</v>
      </c>
      <c r="E145" s="11" t="s">
        <v>102</v>
      </c>
      <c r="F145" s="11" t="s">
        <v>241</v>
      </c>
      <c r="G145" s="11" t="s">
        <v>809</v>
      </c>
      <c r="H145" s="11" t="s">
        <v>56</v>
      </c>
      <c r="I145" s="11" t="s">
        <v>810</v>
      </c>
      <c r="J145" s="11" t="s">
        <v>471</v>
      </c>
      <c r="K145" s="11" t="s">
        <v>70</v>
      </c>
      <c r="L145" s="11" t="s">
        <v>47</v>
      </c>
      <c r="M145" s="11" t="s">
        <v>65</v>
      </c>
      <c r="N145" s="11"/>
      <c r="O145" s="12"/>
      <c r="P145" s="12"/>
    </row>
    <row r="146" customFormat="false" ht="23.85" hidden="false" customHeight="false" outlineLevel="0" collapsed="false">
      <c r="A146" s="11" t="s">
        <v>811</v>
      </c>
      <c r="B146" s="11" t="s">
        <v>36</v>
      </c>
      <c r="C146" s="11" t="s">
        <v>812</v>
      </c>
      <c r="D146" s="11" t="s">
        <v>813</v>
      </c>
      <c r="E146" s="11" t="s">
        <v>814</v>
      </c>
      <c r="F146" s="11" t="s">
        <v>815</v>
      </c>
      <c r="G146" s="11" t="s">
        <v>90</v>
      </c>
      <c r="H146" s="11" t="s">
        <v>52</v>
      </c>
      <c r="I146" s="11" t="s">
        <v>816</v>
      </c>
      <c r="J146" s="11" t="s">
        <v>817</v>
      </c>
      <c r="K146" s="11" t="s">
        <v>69</v>
      </c>
      <c r="L146" s="11" t="s">
        <v>48</v>
      </c>
      <c r="M146" s="11" t="s">
        <v>61</v>
      </c>
      <c r="N146" s="11"/>
      <c r="O146" s="12"/>
      <c r="P146" s="12"/>
    </row>
    <row r="147" customFormat="false" ht="23.85" hidden="false" customHeight="false" outlineLevel="0" collapsed="false">
      <c r="A147" s="11" t="s">
        <v>818</v>
      </c>
      <c r="B147" s="11" t="s">
        <v>36</v>
      </c>
      <c r="C147" s="11" t="s">
        <v>819</v>
      </c>
      <c r="D147" s="11"/>
      <c r="E147" s="11" t="s">
        <v>102</v>
      </c>
      <c r="F147" s="11" t="s">
        <v>339</v>
      </c>
      <c r="G147" s="11" t="s">
        <v>820</v>
      </c>
      <c r="H147" s="11" t="s">
        <v>57</v>
      </c>
      <c r="I147" s="11" t="s">
        <v>821</v>
      </c>
      <c r="J147" s="11" t="s">
        <v>262</v>
      </c>
      <c r="K147" s="11" t="s">
        <v>70</v>
      </c>
      <c r="L147" s="11" t="s">
        <v>48</v>
      </c>
      <c r="M147" s="11" t="s">
        <v>64</v>
      </c>
      <c r="N147" s="11"/>
      <c r="O147" s="12"/>
      <c r="P147" s="12"/>
    </row>
    <row r="148" customFormat="false" ht="15" hidden="false" customHeight="false" outlineLevel="0" collapsed="false">
      <c r="A148" s="11" t="s">
        <v>822</v>
      </c>
      <c r="B148" s="11" t="s">
        <v>37</v>
      </c>
      <c r="C148" s="11" t="s">
        <v>823</v>
      </c>
      <c r="D148" s="11" t="s">
        <v>824</v>
      </c>
      <c r="E148" s="11" t="s">
        <v>233</v>
      </c>
      <c r="F148" s="11" t="s">
        <v>825</v>
      </c>
      <c r="G148" s="11" t="s">
        <v>826</v>
      </c>
      <c r="H148" s="11" t="s">
        <v>55</v>
      </c>
      <c r="I148" s="11" t="s">
        <v>827</v>
      </c>
      <c r="J148" s="11" t="s">
        <v>262</v>
      </c>
      <c r="K148" s="11" t="s">
        <v>70</v>
      </c>
      <c r="L148" s="11" t="s">
        <v>46</v>
      </c>
      <c r="M148" s="11" t="s">
        <v>63</v>
      </c>
      <c r="N148" s="11" t="s">
        <v>828</v>
      </c>
      <c r="O148" s="12"/>
      <c r="P148" s="12"/>
    </row>
    <row r="149" customFormat="false" ht="15" hidden="false" customHeight="false" outlineLevel="0" collapsed="false">
      <c r="A149" s="11" t="s">
        <v>829</v>
      </c>
      <c r="B149" s="11" t="s">
        <v>37</v>
      </c>
      <c r="C149" s="11" t="s">
        <v>830</v>
      </c>
      <c r="D149" s="11" t="s">
        <v>831</v>
      </c>
      <c r="E149" s="11" t="s">
        <v>248</v>
      </c>
      <c r="F149" s="11" t="s">
        <v>832</v>
      </c>
      <c r="G149" s="11" t="s">
        <v>833</v>
      </c>
      <c r="H149" s="11" t="s">
        <v>55</v>
      </c>
      <c r="I149" s="11" t="s">
        <v>834</v>
      </c>
      <c r="J149" s="11" t="s">
        <v>262</v>
      </c>
      <c r="K149" s="11" t="s">
        <v>70</v>
      </c>
      <c r="L149" s="11" t="s">
        <v>46</v>
      </c>
      <c r="M149" s="11" t="s">
        <v>63</v>
      </c>
      <c r="N149" s="11"/>
      <c r="O149" s="12"/>
      <c r="P149" s="12"/>
    </row>
    <row r="150" customFormat="false" ht="23.85" hidden="false" customHeight="false" outlineLevel="0" collapsed="false">
      <c r="A150" s="11" t="s">
        <v>835</v>
      </c>
      <c r="B150" s="11" t="s">
        <v>37</v>
      </c>
      <c r="C150" s="11" t="s">
        <v>836</v>
      </c>
      <c r="D150" s="11" t="s">
        <v>837</v>
      </c>
      <c r="E150" s="11" t="s">
        <v>233</v>
      </c>
      <c r="F150" s="11" t="s">
        <v>838</v>
      </c>
      <c r="G150" s="11" t="s">
        <v>839</v>
      </c>
      <c r="H150" s="11" t="s">
        <v>55</v>
      </c>
      <c r="I150" s="11" t="s">
        <v>840</v>
      </c>
      <c r="J150" s="11" t="s">
        <v>262</v>
      </c>
      <c r="K150" s="11" t="s">
        <v>70</v>
      </c>
      <c r="L150" s="11" t="s">
        <v>47</v>
      </c>
      <c r="M150" s="11" t="s">
        <v>63</v>
      </c>
      <c r="N150" s="11"/>
      <c r="O150" s="12"/>
      <c r="P150" s="12"/>
    </row>
    <row r="151" customFormat="false" ht="15" hidden="false" customHeight="false" outlineLevel="0" collapsed="false">
      <c r="A151" s="11" t="s">
        <v>841</v>
      </c>
      <c r="B151" s="11" t="s">
        <v>37</v>
      </c>
      <c r="C151" s="11" t="s">
        <v>842</v>
      </c>
      <c r="D151" s="11" t="s">
        <v>843</v>
      </c>
      <c r="E151" s="11" t="s">
        <v>143</v>
      </c>
      <c r="F151" s="11" t="s">
        <v>844</v>
      </c>
      <c r="G151" s="11" t="s">
        <v>839</v>
      </c>
      <c r="H151" s="11" t="s">
        <v>55</v>
      </c>
      <c r="I151" s="11" t="s">
        <v>845</v>
      </c>
      <c r="J151" s="11" t="s">
        <v>262</v>
      </c>
      <c r="K151" s="11" t="s">
        <v>70</v>
      </c>
      <c r="L151" s="11" t="s">
        <v>47</v>
      </c>
      <c r="M151" s="11" t="s">
        <v>63</v>
      </c>
      <c r="N151" s="11"/>
      <c r="O151" s="12"/>
      <c r="P151" s="12"/>
    </row>
    <row r="152" customFormat="false" ht="15" hidden="false" customHeight="false" outlineLevel="0" collapsed="false">
      <c r="A152" s="11" t="s">
        <v>846</v>
      </c>
      <c r="B152" s="11" t="s">
        <v>37</v>
      </c>
      <c r="C152" s="11" t="s">
        <v>847</v>
      </c>
      <c r="D152" s="11" t="s">
        <v>848</v>
      </c>
      <c r="E152" s="11" t="s">
        <v>143</v>
      </c>
      <c r="F152" s="11" t="s">
        <v>844</v>
      </c>
      <c r="G152" s="11" t="s">
        <v>849</v>
      </c>
      <c r="H152" s="11" t="s">
        <v>52</v>
      </c>
      <c r="I152" s="11" t="s">
        <v>850</v>
      </c>
      <c r="J152" s="11" t="s">
        <v>851</v>
      </c>
      <c r="K152" s="11" t="s">
        <v>72</v>
      </c>
      <c r="L152" s="11" t="s">
        <v>47</v>
      </c>
      <c r="M152" s="11" t="s">
        <v>61</v>
      </c>
      <c r="N152" s="11"/>
      <c r="O152" s="12"/>
      <c r="P152" s="12"/>
    </row>
    <row r="153" customFormat="false" ht="15" hidden="false" customHeight="false" outlineLevel="0" collapsed="false">
      <c r="A153" s="11" t="s">
        <v>852</v>
      </c>
      <c r="B153" s="11" t="s">
        <v>37</v>
      </c>
      <c r="C153" s="11" t="s">
        <v>853</v>
      </c>
      <c r="D153" s="11" t="s">
        <v>854</v>
      </c>
      <c r="E153" s="11" t="s">
        <v>143</v>
      </c>
      <c r="F153" s="11" t="s">
        <v>855</v>
      </c>
      <c r="G153" s="11" t="s">
        <v>255</v>
      </c>
      <c r="H153" s="11" t="s">
        <v>55</v>
      </c>
      <c r="I153" s="11" t="s">
        <v>856</v>
      </c>
      <c r="J153" s="11" t="s">
        <v>471</v>
      </c>
      <c r="K153" s="11" t="s">
        <v>70</v>
      </c>
      <c r="L153" s="11" t="s">
        <v>46</v>
      </c>
      <c r="M153" s="11" t="s">
        <v>63</v>
      </c>
      <c r="N153" s="11" t="s">
        <v>857</v>
      </c>
      <c r="O153" s="12"/>
      <c r="P153" s="12"/>
    </row>
    <row r="154" customFormat="false" ht="23.85" hidden="false" customHeight="false" outlineLevel="0" collapsed="false">
      <c r="A154" s="11" t="s">
        <v>858</v>
      </c>
      <c r="B154" s="11" t="s">
        <v>37</v>
      </c>
      <c r="C154" s="11" t="s">
        <v>859</v>
      </c>
      <c r="D154" s="11"/>
      <c r="E154" s="11" t="s">
        <v>143</v>
      </c>
      <c r="F154" s="11" t="s">
        <v>860</v>
      </c>
      <c r="G154" s="11" t="s">
        <v>255</v>
      </c>
      <c r="H154" s="11" t="s">
        <v>55</v>
      </c>
      <c r="I154" s="11" t="s">
        <v>256</v>
      </c>
      <c r="J154" s="11" t="s">
        <v>471</v>
      </c>
      <c r="K154" s="11" t="s">
        <v>70</v>
      </c>
      <c r="L154" s="11" t="s">
        <v>47</v>
      </c>
      <c r="M154" s="11" t="s">
        <v>63</v>
      </c>
      <c r="N154" s="11"/>
      <c r="O154" s="12"/>
      <c r="P154" s="12"/>
    </row>
    <row r="155" customFormat="false" ht="23.85" hidden="false" customHeight="false" outlineLevel="0" collapsed="false">
      <c r="A155" s="11" t="s">
        <v>861</v>
      </c>
      <c r="B155" s="11" t="s">
        <v>37</v>
      </c>
      <c r="C155" s="11" t="s">
        <v>862</v>
      </c>
      <c r="D155" s="11"/>
      <c r="E155" s="11" t="s">
        <v>143</v>
      </c>
      <c r="F155" s="11" t="s">
        <v>863</v>
      </c>
      <c r="G155" s="11" t="s">
        <v>255</v>
      </c>
      <c r="H155" s="11" t="s">
        <v>55</v>
      </c>
      <c r="I155" s="11" t="s">
        <v>256</v>
      </c>
      <c r="J155" s="11" t="s">
        <v>471</v>
      </c>
      <c r="K155" s="11" t="s">
        <v>70</v>
      </c>
      <c r="L155" s="11" t="s">
        <v>47</v>
      </c>
      <c r="M155" s="11" t="s">
        <v>63</v>
      </c>
      <c r="N155" s="11"/>
      <c r="O155" s="12"/>
      <c r="P155" s="12"/>
    </row>
    <row r="156" customFormat="false" ht="15" hidden="false" customHeight="false" outlineLevel="0" collapsed="false">
      <c r="A156" s="11" t="s">
        <v>864</v>
      </c>
      <c r="B156" s="11" t="s">
        <v>37</v>
      </c>
      <c r="C156" s="11" t="s">
        <v>865</v>
      </c>
      <c r="D156" s="11" t="s">
        <v>866</v>
      </c>
      <c r="E156" s="11" t="s">
        <v>102</v>
      </c>
      <c r="F156" s="11" t="s">
        <v>867</v>
      </c>
      <c r="G156" s="11" t="s">
        <v>868</v>
      </c>
      <c r="H156" s="11" t="s">
        <v>52</v>
      </c>
      <c r="I156" s="11" t="s">
        <v>869</v>
      </c>
      <c r="J156" s="11" t="s">
        <v>870</v>
      </c>
      <c r="K156" s="11" t="s">
        <v>72</v>
      </c>
      <c r="L156" s="11" t="s">
        <v>48</v>
      </c>
      <c r="M156" s="11" t="s">
        <v>61</v>
      </c>
      <c r="N156" s="11"/>
      <c r="O156" s="12"/>
      <c r="P156" s="12"/>
    </row>
    <row r="157" customFormat="false" ht="23.85" hidden="false" customHeight="false" outlineLevel="0" collapsed="false">
      <c r="A157" s="11" t="s">
        <v>871</v>
      </c>
      <c r="B157" s="11" t="s">
        <v>38</v>
      </c>
      <c r="C157" s="11" t="s">
        <v>872</v>
      </c>
      <c r="D157" s="11" t="s">
        <v>873</v>
      </c>
      <c r="E157" s="11" t="s">
        <v>519</v>
      </c>
      <c r="F157" s="11" t="s">
        <v>137</v>
      </c>
      <c r="G157" s="11" t="s">
        <v>469</v>
      </c>
      <c r="H157" s="11" t="s">
        <v>55</v>
      </c>
      <c r="I157" s="11" t="s">
        <v>490</v>
      </c>
      <c r="J157" s="11" t="s">
        <v>262</v>
      </c>
      <c r="K157" s="11" t="s">
        <v>70</v>
      </c>
      <c r="L157" s="11" t="s">
        <v>47</v>
      </c>
      <c r="M157" s="11" t="s">
        <v>63</v>
      </c>
      <c r="N157" s="11"/>
      <c r="O157" s="12"/>
      <c r="P157" s="12"/>
    </row>
    <row r="158" customFormat="false" ht="23.85" hidden="false" customHeight="false" outlineLevel="0" collapsed="false">
      <c r="A158" s="11" t="s">
        <v>874</v>
      </c>
      <c r="B158" s="11" t="s">
        <v>38</v>
      </c>
      <c r="C158" s="11" t="s">
        <v>875</v>
      </c>
      <c r="D158" s="11" t="s">
        <v>876</v>
      </c>
      <c r="E158" s="11" t="s">
        <v>519</v>
      </c>
      <c r="F158" s="11" t="s">
        <v>137</v>
      </c>
      <c r="G158" s="11" t="s">
        <v>877</v>
      </c>
      <c r="H158" s="11" t="s">
        <v>55</v>
      </c>
      <c r="I158" s="11" t="s">
        <v>878</v>
      </c>
      <c r="J158" s="11" t="s">
        <v>262</v>
      </c>
      <c r="K158" s="11" t="s">
        <v>70</v>
      </c>
      <c r="L158" s="11" t="s">
        <v>47</v>
      </c>
      <c r="M158" s="11" t="s">
        <v>63</v>
      </c>
      <c r="N158" s="11"/>
      <c r="O158" s="12"/>
      <c r="P158" s="12"/>
    </row>
    <row r="159" customFormat="false" ht="23.85" hidden="false" customHeight="false" outlineLevel="0" collapsed="false">
      <c r="A159" s="11" t="s">
        <v>879</v>
      </c>
      <c r="B159" s="11" t="s">
        <v>38</v>
      </c>
      <c r="C159" s="11" t="s">
        <v>880</v>
      </c>
      <c r="D159" s="11"/>
      <c r="E159" s="11" t="s">
        <v>519</v>
      </c>
      <c r="F159" s="11" t="s">
        <v>328</v>
      </c>
      <c r="G159" s="11" t="s">
        <v>881</v>
      </c>
      <c r="H159" s="11" t="s">
        <v>58</v>
      </c>
      <c r="I159" s="11" t="s">
        <v>882</v>
      </c>
      <c r="J159" s="11" t="s">
        <v>262</v>
      </c>
      <c r="K159" s="11" t="s">
        <v>70</v>
      </c>
      <c r="L159" s="11" t="s">
        <v>48</v>
      </c>
      <c r="M159" s="11" t="s">
        <v>65</v>
      </c>
      <c r="N159" s="11"/>
      <c r="O159" s="12"/>
      <c r="P159" s="12"/>
    </row>
    <row r="160" customFormat="false" ht="23.85" hidden="false" customHeight="false" outlineLevel="0" collapsed="false">
      <c r="A160" s="11" t="s">
        <v>883</v>
      </c>
      <c r="B160" s="11" t="s">
        <v>38</v>
      </c>
      <c r="C160" s="11" t="s">
        <v>884</v>
      </c>
      <c r="D160" s="11" t="s">
        <v>885</v>
      </c>
      <c r="E160" s="11" t="s">
        <v>143</v>
      </c>
      <c r="F160" s="11" t="s">
        <v>137</v>
      </c>
      <c r="G160" s="11" t="s">
        <v>886</v>
      </c>
      <c r="H160" s="11" t="s">
        <v>54</v>
      </c>
      <c r="I160" s="11" t="s">
        <v>887</v>
      </c>
      <c r="J160" s="11" t="s">
        <v>68</v>
      </c>
      <c r="K160" s="11" t="s">
        <v>68</v>
      </c>
      <c r="L160" s="11" t="s">
        <v>47</v>
      </c>
      <c r="M160" s="11" t="s">
        <v>61</v>
      </c>
      <c r="N160" s="11"/>
      <c r="O160" s="12"/>
      <c r="P160" s="12"/>
    </row>
    <row r="161" customFormat="false" ht="23.85" hidden="false" customHeight="false" outlineLevel="0" collapsed="false">
      <c r="A161" s="11" t="s">
        <v>888</v>
      </c>
      <c r="B161" s="11" t="s">
        <v>39</v>
      </c>
      <c r="C161" s="11" t="s">
        <v>889</v>
      </c>
      <c r="D161" s="11" t="s">
        <v>890</v>
      </c>
      <c r="E161" s="11" t="s">
        <v>891</v>
      </c>
      <c r="F161" s="11" t="s">
        <v>137</v>
      </c>
      <c r="G161" s="11" t="s">
        <v>469</v>
      </c>
      <c r="H161" s="11" t="s">
        <v>55</v>
      </c>
      <c r="I161" s="11" t="s">
        <v>892</v>
      </c>
      <c r="J161" s="11" t="s">
        <v>262</v>
      </c>
      <c r="K161" s="11" t="s">
        <v>70</v>
      </c>
      <c r="L161" s="11" t="s">
        <v>46</v>
      </c>
      <c r="M161" s="11" t="s">
        <v>63</v>
      </c>
      <c r="N161" s="11"/>
      <c r="O161" s="12"/>
      <c r="P161" s="12"/>
    </row>
    <row r="162" customFormat="false" ht="23.85" hidden="false" customHeight="false" outlineLevel="0" collapsed="false">
      <c r="A162" s="11" t="s">
        <v>893</v>
      </c>
      <c r="B162" s="11" t="s">
        <v>39</v>
      </c>
      <c r="C162" s="11" t="s">
        <v>894</v>
      </c>
      <c r="D162" s="11" t="s">
        <v>895</v>
      </c>
      <c r="E162" s="11" t="s">
        <v>891</v>
      </c>
      <c r="F162" s="11" t="s">
        <v>420</v>
      </c>
      <c r="G162" s="11" t="s">
        <v>469</v>
      </c>
      <c r="H162" s="11" t="s">
        <v>55</v>
      </c>
      <c r="I162" s="11" t="s">
        <v>892</v>
      </c>
      <c r="J162" s="11" t="s">
        <v>262</v>
      </c>
      <c r="K162" s="11" t="s">
        <v>70</v>
      </c>
      <c r="L162" s="11" t="s">
        <v>47</v>
      </c>
      <c r="M162" s="11" t="s">
        <v>63</v>
      </c>
      <c r="N162" s="11"/>
      <c r="O162" s="12"/>
      <c r="P162" s="12"/>
    </row>
    <row r="163" customFormat="false" ht="23.85" hidden="false" customHeight="false" outlineLevel="0" collapsed="false">
      <c r="A163" s="11" t="s">
        <v>896</v>
      </c>
      <c r="B163" s="11" t="s">
        <v>39</v>
      </c>
      <c r="C163" s="11" t="s">
        <v>897</v>
      </c>
      <c r="D163" s="11" t="s">
        <v>898</v>
      </c>
      <c r="E163" s="11" t="s">
        <v>519</v>
      </c>
      <c r="F163" s="11" t="s">
        <v>137</v>
      </c>
      <c r="G163" s="11" t="s">
        <v>469</v>
      </c>
      <c r="H163" s="11" t="s">
        <v>55</v>
      </c>
      <c r="I163" s="11" t="s">
        <v>892</v>
      </c>
      <c r="J163" s="11" t="s">
        <v>262</v>
      </c>
      <c r="K163" s="11" t="s">
        <v>70</v>
      </c>
      <c r="L163" s="11" t="s">
        <v>47</v>
      </c>
      <c r="M163" s="11" t="s">
        <v>63</v>
      </c>
      <c r="N163" s="11"/>
      <c r="O163" s="12"/>
      <c r="P163" s="12"/>
    </row>
    <row r="164" customFormat="false" ht="23.85" hidden="false" customHeight="false" outlineLevel="0" collapsed="false">
      <c r="A164" s="11" t="s">
        <v>899</v>
      </c>
      <c r="B164" s="11" t="s">
        <v>39</v>
      </c>
      <c r="C164" s="11" t="s">
        <v>900</v>
      </c>
      <c r="D164" s="11"/>
      <c r="E164" s="11" t="s">
        <v>519</v>
      </c>
      <c r="F164" s="11" t="s">
        <v>137</v>
      </c>
      <c r="G164" s="11" t="s">
        <v>469</v>
      </c>
      <c r="H164" s="11" t="s">
        <v>55</v>
      </c>
      <c r="I164" s="11" t="s">
        <v>892</v>
      </c>
      <c r="J164" s="11" t="s">
        <v>262</v>
      </c>
      <c r="K164" s="11" t="s">
        <v>70</v>
      </c>
      <c r="L164" s="11" t="s">
        <v>48</v>
      </c>
      <c r="M164" s="11" t="s">
        <v>63</v>
      </c>
      <c r="N164" s="11"/>
      <c r="O164" s="12"/>
      <c r="P164" s="12"/>
    </row>
    <row r="165" customFormat="false" ht="23.85" hidden="false" customHeight="false" outlineLevel="0" collapsed="false">
      <c r="A165" s="11" t="s">
        <v>901</v>
      </c>
      <c r="B165" s="11" t="s">
        <v>39</v>
      </c>
      <c r="C165" s="11" t="s">
        <v>902</v>
      </c>
      <c r="D165" s="11" t="s">
        <v>903</v>
      </c>
      <c r="E165" s="11" t="s">
        <v>519</v>
      </c>
      <c r="F165" s="11" t="s">
        <v>420</v>
      </c>
      <c r="G165" s="11" t="s">
        <v>469</v>
      </c>
      <c r="H165" s="11" t="s">
        <v>55</v>
      </c>
      <c r="I165" s="11" t="s">
        <v>904</v>
      </c>
      <c r="J165" s="11" t="s">
        <v>262</v>
      </c>
      <c r="K165" s="11" t="s">
        <v>70</v>
      </c>
      <c r="L165" s="11" t="s">
        <v>46</v>
      </c>
      <c r="M165" s="11" t="s">
        <v>63</v>
      </c>
      <c r="N165" s="11" t="s">
        <v>905</v>
      </c>
      <c r="O165" s="12"/>
      <c r="P165" s="12"/>
    </row>
    <row r="166" customFormat="false" ht="23.85" hidden="false" customHeight="false" outlineLevel="0" collapsed="false">
      <c r="A166" s="11" t="s">
        <v>906</v>
      </c>
      <c r="B166" s="11" t="s">
        <v>39</v>
      </c>
      <c r="C166" s="11" t="s">
        <v>907</v>
      </c>
      <c r="D166" s="11" t="s">
        <v>908</v>
      </c>
      <c r="E166" s="11" t="s">
        <v>891</v>
      </c>
      <c r="F166" s="11" t="s">
        <v>420</v>
      </c>
      <c r="G166" s="11" t="s">
        <v>469</v>
      </c>
      <c r="H166" s="11" t="s">
        <v>55</v>
      </c>
      <c r="I166" s="11" t="s">
        <v>909</v>
      </c>
      <c r="J166" s="11" t="s">
        <v>262</v>
      </c>
      <c r="K166" s="11" t="s">
        <v>70</v>
      </c>
      <c r="L166" s="11" t="s">
        <v>47</v>
      </c>
      <c r="M166" s="11" t="s">
        <v>63</v>
      </c>
      <c r="N166" s="11"/>
      <c r="O166" s="12"/>
      <c r="P166" s="12"/>
    </row>
    <row r="167" customFormat="false" ht="23.85" hidden="false" customHeight="false" outlineLevel="0" collapsed="false">
      <c r="A167" s="11" t="s">
        <v>910</v>
      </c>
      <c r="B167" s="11" t="s">
        <v>39</v>
      </c>
      <c r="C167" s="11" t="s">
        <v>911</v>
      </c>
      <c r="D167" s="11" t="s">
        <v>912</v>
      </c>
      <c r="E167" s="11" t="s">
        <v>891</v>
      </c>
      <c r="F167" s="11" t="s">
        <v>420</v>
      </c>
      <c r="G167" s="11" t="s">
        <v>913</v>
      </c>
      <c r="H167" s="11" t="s">
        <v>59</v>
      </c>
      <c r="I167" s="11" t="s">
        <v>914</v>
      </c>
      <c r="J167" s="11" t="s">
        <v>915</v>
      </c>
      <c r="K167" s="11" t="s">
        <v>70</v>
      </c>
      <c r="L167" s="11" t="s">
        <v>46</v>
      </c>
      <c r="M167" s="11" t="s">
        <v>64</v>
      </c>
      <c r="N167" s="11" t="s">
        <v>916</v>
      </c>
      <c r="O167" s="12"/>
      <c r="P167" s="12"/>
    </row>
    <row r="168" customFormat="false" ht="23.85" hidden="false" customHeight="false" outlineLevel="0" collapsed="false">
      <c r="A168" s="11" t="s">
        <v>917</v>
      </c>
      <c r="B168" s="11" t="s">
        <v>39</v>
      </c>
      <c r="C168" s="11" t="s">
        <v>918</v>
      </c>
      <c r="D168" s="11" t="s">
        <v>919</v>
      </c>
      <c r="E168" s="11" t="s">
        <v>519</v>
      </c>
      <c r="F168" s="11" t="s">
        <v>179</v>
      </c>
      <c r="G168" s="11" t="s">
        <v>469</v>
      </c>
      <c r="H168" s="11" t="s">
        <v>55</v>
      </c>
      <c r="I168" s="11" t="s">
        <v>920</v>
      </c>
      <c r="J168" s="11" t="s">
        <v>262</v>
      </c>
      <c r="K168" s="11" t="s">
        <v>70</v>
      </c>
      <c r="L168" s="11" t="s">
        <v>47</v>
      </c>
      <c r="M168" s="11" t="s">
        <v>63</v>
      </c>
      <c r="N168" s="11"/>
      <c r="O168" s="12"/>
      <c r="P168" s="12"/>
    </row>
    <row r="169" customFormat="false" ht="23.85" hidden="false" customHeight="false" outlineLevel="0" collapsed="false">
      <c r="A169" s="11" t="s">
        <v>921</v>
      </c>
      <c r="B169" s="11" t="s">
        <v>40</v>
      </c>
      <c r="C169" s="11" t="s">
        <v>922</v>
      </c>
      <c r="D169" s="11" t="s">
        <v>923</v>
      </c>
      <c r="E169" s="11" t="s">
        <v>814</v>
      </c>
      <c r="F169" s="11" t="s">
        <v>924</v>
      </c>
      <c r="G169" s="11" t="s">
        <v>90</v>
      </c>
      <c r="H169" s="11" t="s">
        <v>52</v>
      </c>
      <c r="I169" s="11" t="s">
        <v>925</v>
      </c>
      <c r="J169" s="11" t="s">
        <v>310</v>
      </c>
      <c r="K169" s="11" t="s">
        <v>69</v>
      </c>
      <c r="L169" s="11" t="s">
        <v>47</v>
      </c>
      <c r="M169" s="11" t="s">
        <v>61</v>
      </c>
      <c r="N169" s="11"/>
      <c r="O169" s="12"/>
      <c r="P169" s="12"/>
    </row>
    <row r="170" customFormat="false" ht="23.85" hidden="false" customHeight="false" outlineLevel="0" collapsed="false">
      <c r="A170" s="11" t="s">
        <v>926</v>
      </c>
      <c r="B170" s="11" t="s">
        <v>40</v>
      </c>
      <c r="C170" s="11" t="s">
        <v>927</v>
      </c>
      <c r="D170" s="11" t="s">
        <v>928</v>
      </c>
      <c r="E170" s="11" t="s">
        <v>814</v>
      </c>
      <c r="F170" s="11" t="s">
        <v>815</v>
      </c>
      <c r="G170" s="11" t="s">
        <v>929</v>
      </c>
      <c r="H170" s="11" t="s">
        <v>52</v>
      </c>
      <c r="I170" s="11" t="s">
        <v>930</v>
      </c>
      <c r="J170" s="11" t="s">
        <v>310</v>
      </c>
      <c r="K170" s="11" t="s">
        <v>69</v>
      </c>
      <c r="L170" s="11" t="s">
        <v>48</v>
      </c>
      <c r="M170" s="11" t="s">
        <v>61</v>
      </c>
      <c r="N170" s="11"/>
      <c r="O170" s="12"/>
      <c r="P170" s="12"/>
    </row>
    <row r="171" customFormat="false" ht="23.85" hidden="false" customHeight="false" outlineLevel="0" collapsed="false">
      <c r="A171" s="11" t="s">
        <v>931</v>
      </c>
      <c r="B171" s="11" t="s">
        <v>40</v>
      </c>
      <c r="C171" s="11" t="s">
        <v>932</v>
      </c>
      <c r="D171" s="11" t="s">
        <v>933</v>
      </c>
      <c r="E171" s="11" t="s">
        <v>102</v>
      </c>
      <c r="F171" s="11" t="s">
        <v>815</v>
      </c>
      <c r="G171" s="11" t="s">
        <v>934</v>
      </c>
      <c r="H171" s="11" t="s">
        <v>52</v>
      </c>
      <c r="I171" s="11" t="s">
        <v>935</v>
      </c>
      <c r="J171" s="11" t="s">
        <v>310</v>
      </c>
      <c r="K171" s="11" t="s">
        <v>69</v>
      </c>
      <c r="L171" s="11" t="s">
        <v>48</v>
      </c>
      <c r="M171" s="11" t="s">
        <v>61</v>
      </c>
      <c r="N171" s="11"/>
      <c r="O171" s="12"/>
      <c r="P171" s="12"/>
    </row>
    <row r="172" customFormat="false" ht="23.85" hidden="false" customHeight="false" outlineLevel="0" collapsed="false">
      <c r="A172" s="11" t="s">
        <v>936</v>
      </c>
      <c r="B172" s="11" t="s">
        <v>40</v>
      </c>
      <c r="C172" s="11" t="s">
        <v>937</v>
      </c>
      <c r="D172" s="11" t="s">
        <v>938</v>
      </c>
      <c r="E172" s="11" t="s">
        <v>102</v>
      </c>
      <c r="F172" s="11" t="s">
        <v>815</v>
      </c>
      <c r="G172" s="11" t="s">
        <v>939</v>
      </c>
      <c r="H172" s="11" t="s">
        <v>52</v>
      </c>
      <c r="I172" s="11" t="s">
        <v>940</v>
      </c>
      <c r="J172" s="11" t="s">
        <v>310</v>
      </c>
      <c r="K172" s="11" t="s">
        <v>69</v>
      </c>
      <c r="L172" s="11" t="s">
        <v>48</v>
      </c>
      <c r="M172" s="11" t="s">
        <v>61</v>
      </c>
      <c r="N172" s="11"/>
      <c r="O172" s="12"/>
      <c r="P172" s="12"/>
    </row>
    <row r="173" customFormat="false" ht="23.85" hidden="false" customHeight="false" outlineLevel="0" collapsed="false">
      <c r="A173" s="11" t="s">
        <v>941</v>
      </c>
      <c r="B173" s="11" t="s">
        <v>40</v>
      </c>
      <c r="C173" s="11" t="s">
        <v>942</v>
      </c>
      <c r="D173" s="11" t="s">
        <v>943</v>
      </c>
      <c r="E173" s="11" t="s">
        <v>102</v>
      </c>
      <c r="F173" s="11" t="s">
        <v>815</v>
      </c>
      <c r="G173" s="11" t="s">
        <v>939</v>
      </c>
      <c r="H173" s="11" t="s">
        <v>52</v>
      </c>
      <c r="I173" s="11" t="s">
        <v>944</v>
      </c>
      <c r="J173" s="11" t="s">
        <v>310</v>
      </c>
      <c r="K173" s="11" t="s">
        <v>69</v>
      </c>
      <c r="L173" s="11" t="s">
        <v>48</v>
      </c>
      <c r="M173" s="11" t="s">
        <v>61</v>
      </c>
      <c r="N173" s="11"/>
      <c r="O173" s="12"/>
      <c r="P173" s="12"/>
    </row>
    <row r="174" customFormat="false" ht="23.85" hidden="false" customHeight="false" outlineLevel="0" collapsed="false">
      <c r="A174" s="11" t="s">
        <v>945</v>
      </c>
      <c r="B174" s="11" t="s">
        <v>40</v>
      </c>
      <c r="C174" s="11" t="s">
        <v>946</v>
      </c>
      <c r="D174" s="11" t="s">
        <v>947</v>
      </c>
      <c r="E174" s="11" t="s">
        <v>814</v>
      </c>
      <c r="F174" s="11" t="s">
        <v>948</v>
      </c>
      <c r="G174" s="11" t="s">
        <v>90</v>
      </c>
      <c r="H174" s="11" t="s">
        <v>52</v>
      </c>
      <c r="I174" s="11" t="s">
        <v>949</v>
      </c>
      <c r="J174" s="11" t="s">
        <v>310</v>
      </c>
      <c r="K174" s="11" t="s">
        <v>69</v>
      </c>
      <c r="L174" s="11" t="s">
        <v>48</v>
      </c>
      <c r="M174" s="11" t="s">
        <v>61</v>
      </c>
      <c r="N174" s="11"/>
      <c r="O174" s="12"/>
      <c r="P174" s="12"/>
    </row>
    <row r="175" customFormat="false" ht="46.25" hidden="false" customHeight="false" outlineLevel="0" collapsed="false">
      <c r="A175" s="11" t="s">
        <v>950</v>
      </c>
      <c r="B175" s="11" t="s">
        <v>40</v>
      </c>
      <c r="C175" s="11" t="s">
        <v>951</v>
      </c>
      <c r="D175" s="11" t="s">
        <v>952</v>
      </c>
      <c r="E175" s="11" t="s">
        <v>814</v>
      </c>
      <c r="F175" s="11" t="s">
        <v>815</v>
      </c>
      <c r="G175" s="11" t="s">
        <v>90</v>
      </c>
      <c r="H175" s="11" t="s">
        <v>52</v>
      </c>
      <c r="I175" s="11" t="s">
        <v>953</v>
      </c>
      <c r="J175" s="11" t="s">
        <v>954</v>
      </c>
      <c r="K175" s="11" t="s">
        <v>69</v>
      </c>
      <c r="L175" s="11" t="s">
        <v>48</v>
      </c>
      <c r="M175" s="11" t="s">
        <v>61</v>
      </c>
      <c r="N175" s="11" t="s">
        <v>955</v>
      </c>
      <c r="O175" s="12"/>
      <c r="P175" s="12"/>
    </row>
    <row r="176" customFormat="false" ht="23.85" hidden="false" customHeight="false" outlineLevel="0" collapsed="false">
      <c r="A176" s="11" t="s">
        <v>956</v>
      </c>
      <c r="B176" s="11" t="s">
        <v>40</v>
      </c>
      <c r="C176" s="11" t="s">
        <v>957</v>
      </c>
      <c r="D176" s="11" t="s">
        <v>958</v>
      </c>
      <c r="E176" s="11" t="s">
        <v>959</v>
      </c>
      <c r="F176" s="11" t="s">
        <v>321</v>
      </c>
      <c r="G176" s="11" t="s">
        <v>90</v>
      </c>
      <c r="H176" s="11" t="s">
        <v>52</v>
      </c>
      <c r="I176" s="11" t="s">
        <v>960</v>
      </c>
      <c r="J176" s="11" t="s">
        <v>961</v>
      </c>
      <c r="K176" s="11" t="s">
        <v>69</v>
      </c>
      <c r="L176" s="11" t="s">
        <v>48</v>
      </c>
      <c r="M176" s="11" t="s">
        <v>61</v>
      </c>
      <c r="N176" s="11"/>
      <c r="O176" s="12"/>
      <c r="P176" s="12"/>
    </row>
    <row r="177" customFormat="false" ht="23.85" hidden="false" customHeight="false" outlineLevel="0" collapsed="false">
      <c r="A177" s="11" t="s">
        <v>962</v>
      </c>
      <c r="B177" s="11" t="s">
        <v>40</v>
      </c>
      <c r="C177" s="11" t="s">
        <v>963</v>
      </c>
      <c r="D177" s="11" t="s">
        <v>964</v>
      </c>
      <c r="E177" s="11" t="s">
        <v>102</v>
      </c>
      <c r="F177" s="11" t="s">
        <v>815</v>
      </c>
      <c r="G177" s="11" t="s">
        <v>934</v>
      </c>
      <c r="H177" s="11" t="s">
        <v>52</v>
      </c>
      <c r="I177" s="11" t="s">
        <v>965</v>
      </c>
      <c r="J177" s="11" t="s">
        <v>310</v>
      </c>
      <c r="K177" s="11" t="s">
        <v>69</v>
      </c>
      <c r="L177" s="11" t="s">
        <v>48</v>
      </c>
      <c r="M177" s="11" t="s">
        <v>61</v>
      </c>
      <c r="N177" s="11"/>
      <c r="O177" s="12"/>
      <c r="P177" s="12"/>
    </row>
    <row r="178" customFormat="false" ht="15" hidden="false" customHeight="false" outlineLevel="0" collapsed="false">
      <c r="A178" s="11" t="s">
        <v>966</v>
      </c>
      <c r="B178" s="11" t="s">
        <v>40</v>
      </c>
      <c r="C178" s="11" t="s">
        <v>967</v>
      </c>
      <c r="D178" s="11" t="s">
        <v>968</v>
      </c>
      <c r="E178" s="11" t="s">
        <v>102</v>
      </c>
      <c r="F178" s="11" t="s">
        <v>413</v>
      </c>
      <c r="G178" s="11" t="s">
        <v>969</v>
      </c>
      <c r="H178" s="11" t="s">
        <v>57</v>
      </c>
      <c r="I178" s="11" t="s">
        <v>970</v>
      </c>
      <c r="J178" s="11" t="s">
        <v>971</v>
      </c>
      <c r="K178" s="11" t="s">
        <v>70</v>
      </c>
      <c r="L178" s="11" t="s">
        <v>47</v>
      </c>
      <c r="M178" s="11" t="s">
        <v>65</v>
      </c>
      <c r="N178" s="11" t="s">
        <v>972</v>
      </c>
      <c r="O178" s="12"/>
      <c r="P178" s="12"/>
    </row>
    <row r="179" customFormat="false" ht="15" hidden="false" customHeight="false" outlineLevel="0" collapsed="false">
      <c r="A179" s="11" t="s">
        <v>973</v>
      </c>
      <c r="B179" s="11" t="s">
        <v>40</v>
      </c>
      <c r="C179" s="11" t="s">
        <v>974</v>
      </c>
      <c r="D179" s="11" t="s">
        <v>578</v>
      </c>
      <c r="E179" s="11" t="s">
        <v>102</v>
      </c>
      <c r="F179" s="11" t="s">
        <v>975</v>
      </c>
      <c r="G179" s="11" t="s">
        <v>976</v>
      </c>
      <c r="H179" s="11" t="s">
        <v>57</v>
      </c>
      <c r="I179" s="11" t="s">
        <v>977</v>
      </c>
      <c r="J179" s="11" t="s">
        <v>471</v>
      </c>
      <c r="K179" s="11" t="s">
        <v>70</v>
      </c>
      <c r="L179" s="11" t="s">
        <v>48</v>
      </c>
      <c r="M179" s="11" t="s">
        <v>64</v>
      </c>
      <c r="N179" s="11"/>
      <c r="O179" s="12"/>
      <c r="P179" s="12"/>
    </row>
    <row r="180" customFormat="false" ht="15" hidden="false" customHeight="false" outlineLevel="0" collapsed="false">
      <c r="A180" s="11" t="s">
        <v>978</v>
      </c>
      <c r="B180" s="11" t="s">
        <v>40</v>
      </c>
      <c r="C180" s="11" t="s">
        <v>979</v>
      </c>
      <c r="D180" s="11" t="s">
        <v>456</v>
      </c>
      <c r="E180" s="11" t="s">
        <v>980</v>
      </c>
      <c r="F180" s="11" t="s">
        <v>981</v>
      </c>
      <c r="G180" s="11" t="s">
        <v>982</v>
      </c>
      <c r="H180" s="11" t="s">
        <v>57</v>
      </c>
      <c r="I180" s="11" t="s">
        <v>983</v>
      </c>
      <c r="J180" s="11" t="s">
        <v>742</v>
      </c>
      <c r="K180" s="11" t="s">
        <v>70</v>
      </c>
      <c r="L180" s="11" t="s">
        <v>48</v>
      </c>
      <c r="M180" s="11" t="s">
        <v>65</v>
      </c>
      <c r="N180" s="11"/>
      <c r="O180" s="12"/>
      <c r="P180" s="12"/>
    </row>
    <row r="181" customFormat="false" ht="23.85" hidden="false" customHeight="false" outlineLevel="0" collapsed="false">
      <c r="A181" s="11" t="s">
        <v>984</v>
      </c>
      <c r="B181" s="11" t="s">
        <v>41</v>
      </c>
      <c r="C181" s="11" t="s">
        <v>985</v>
      </c>
      <c r="D181" s="11" t="s">
        <v>986</v>
      </c>
      <c r="E181" s="11" t="s">
        <v>102</v>
      </c>
      <c r="F181" s="11" t="s">
        <v>987</v>
      </c>
      <c r="G181" s="11" t="s">
        <v>988</v>
      </c>
      <c r="H181" s="11" t="s">
        <v>55</v>
      </c>
      <c r="I181" s="11" t="s">
        <v>989</v>
      </c>
      <c r="J181" s="11" t="s">
        <v>471</v>
      </c>
      <c r="K181" s="11" t="s">
        <v>70</v>
      </c>
      <c r="L181" s="11" t="s">
        <v>46</v>
      </c>
      <c r="M181" s="11" t="s">
        <v>63</v>
      </c>
      <c r="N181" s="11"/>
      <c r="O181" s="12"/>
      <c r="P181" s="12"/>
    </row>
    <row r="182" customFormat="false" ht="23.85" hidden="false" customHeight="false" outlineLevel="0" collapsed="false">
      <c r="A182" s="11" t="s">
        <v>990</v>
      </c>
      <c r="B182" s="11" t="s">
        <v>41</v>
      </c>
      <c r="C182" s="11" t="s">
        <v>991</v>
      </c>
      <c r="D182" s="11" t="s">
        <v>992</v>
      </c>
      <c r="E182" s="11" t="s">
        <v>993</v>
      </c>
      <c r="F182" s="11" t="s">
        <v>815</v>
      </c>
      <c r="G182" s="11" t="s">
        <v>994</v>
      </c>
      <c r="H182" s="11" t="s">
        <v>54</v>
      </c>
      <c r="I182" s="11" t="s">
        <v>995</v>
      </c>
      <c r="J182" s="11" t="s">
        <v>68</v>
      </c>
      <c r="K182" s="11" t="s">
        <v>68</v>
      </c>
      <c r="L182" s="11" t="s">
        <v>47</v>
      </c>
      <c r="M182" s="11" t="s">
        <v>61</v>
      </c>
      <c r="N182" s="11" t="s">
        <v>996</v>
      </c>
      <c r="O182" s="12"/>
      <c r="P182" s="12"/>
    </row>
    <row r="183" customFormat="false" ht="23.85" hidden="false" customHeight="false" outlineLevel="0" collapsed="false">
      <c r="A183" s="11" t="s">
        <v>997</v>
      </c>
      <c r="B183" s="11" t="s">
        <v>41</v>
      </c>
      <c r="C183" s="11" t="s">
        <v>998</v>
      </c>
      <c r="D183" s="11" t="s">
        <v>999</v>
      </c>
      <c r="E183" s="11" t="s">
        <v>993</v>
      </c>
      <c r="F183" s="11" t="s">
        <v>815</v>
      </c>
      <c r="G183" s="11" t="s">
        <v>1000</v>
      </c>
      <c r="H183" s="11" t="s">
        <v>54</v>
      </c>
      <c r="I183" s="11" t="s">
        <v>1001</v>
      </c>
      <c r="J183" s="11" t="s">
        <v>68</v>
      </c>
      <c r="K183" s="11" t="s">
        <v>68</v>
      </c>
      <c r="L183" s="11" t="s">
        <v>48</v>
      </c>
      <c r="M183" s="11" t="s">
        <v>64</v>
      </c>
      <c r="N183" s="11"/>
      <c r="O183" s="12"/>
      <c r="P183" s="12"/>
    </row>
    <row r="184" customFormat="false" ht="23.85" hidden="false" customHeight="false" outlineLevel="0" collapsed="false">
      <c r="A184" s="11" t="s">
        <v>1002</v>
      </c>
      <c r="B184" s="11" t="s">
        <v>42</v>
      </c>
      <c r="C184" s="11" t="s">
        <v>1003</v>
      </c>
      <c r="D184" s="11" t="s">
        <v>1004</v>
      </c>
      <c r="E184" s="11" t="s">
        <v>102</v>
      </c>
      <c r="F184" s="11" t="s">
        <v>815</v>
      </c>
      <c r="G184" s="11" t="s">
        <v>1005</v>
      </c>
      <c r="H184" s="11" t="s">
        <v>51</v>
      </c>
      <c r="I184" s="11" t="s">
        <v>1006</v>
      </c>
      <c r="J184" s="11" t="s">
        <v>471</v>
      </c>
      <c r="K184" s="11" t="s">
        <v>70</v>
      </c>
      <c r="L184" s="11" t="s">
        <v>47</v>
      </c>
      <c r="M184" s="11" t="s">
        <v>62</v>
      </c>
      <c r="N184" s="11"/>
      <c r="O184" s="12"/>
      <c r="P184" s="12"/>
    </row>
    <row r="185" customFormat="false" ht="15" hidden="false" customHeight="false" outlineLevel="0" collapsed="false">
      <c r="A185" s="11" t="s">
        <v>1007</v>
      </c>
      <c r="B185" s="11" t="s">
        <v>42</v>
      </c>
      <c r="C185" s="11" t="s">
        <v>1008</v>
      </c>
      <c r="D185" s="11" t="s">
        <v>1009</v>
      </c>
      <c r="E185" s="11" t="s">
        <v>1010</v>
      </c>
      <c r="F185" s="11" t="s">
        <v>420</v>
      </c>
      <c r="G185" s="11" t="s">
        <v>1011</v>
      </c>
      <c r="H185" s="11" t="s">
        <v>51</v>
      </c>
      <c r="I185" s="11" t="s">
        <v>1012</v>
      </c>
      <c r="J185" s="11" t="s">
        <v>471</v>
      </c>
      <c r="K185" s="11" t="s">
        <v>70</v>
      </c>
      <c r="L185" s="11" t="s">
        <v>47</v>
      </c>
      <c r="M185" s="11" t="s">
        <v>62</v>
      </c>
      <c r="N185" s="11"/>
      <c r="O185" s="12"/>
      <c r="P185" s="12"/>
    </row>
    <row r="186" customFormat="false" ht="15" hidden="false" customHeight="false" outlineLevel="0" collapsed="false">
      <c r="A186" s="11" t="s">
        <v>1013</v>
      </c>
      <c r="B186" s="11" t="s">
        <v>42</v>
      </c>
      <c r="C186" s="11" t="s">
        <v>1014</v>
      </c>
      <c r="D186" s="11"/>
      <c r="E186" s="11" t="s">
        <v>228</v>
      </c>
      <c r="F186" s="11" t="s">
        <v>815</v>
      </c>
      <c r="G186" s="11" t="s">
        <v>1011</v>
      </c>
      <c r="H186" s="11" t="s">
        <v>51</v>
      </c>
      <c r="I186" s="11" t="s">
        <v>1015</v>
      </c>
      <c r="J186" s="11" t="s">
        <v>471</v>
      </c>
      <c r="K186" s="11" t="s">
        <v>70</v>
      </c>
      <c r="L186" s="11" t="s">
        <v>48</v>
      </c>
      <c r="M186" s="11" t="s">
        <v>62</v>
      </c>
      <c r="N186" s="11"/>
      <c r="O186" s="12"/>
      <c r="P186" s="12"/>
    </row>
    <row r="187" customFormat="false" ht="23.85" hidden="false" customHeight="false" outlineLevel="0" collapsed="false">
      <c r="A187" s="11" t="s">
        <v>1016</v>
      </c>
      <c r="B187" s="11" t="s">
        <v>42</v>
      </c>
      <c r="C187" s="11" t="s">
        <v>1017</v>
      </c>
      <c r="D187" s="11"/>
      <c r="E187" s="11" t="s">
        <v>1018</v>
      </c>
      <c r="F187" s="11" t="s">
        <v>815</v>
      </c>
      <c r="G187" s="11" t="s">
        <v>1019</v>
      </c>
      <c r="H187" s="11" t="s">
        <v>51</v>
      </c>
      <c r="I187" s="11" t="s">
        <v>1020</v>
      </c>
      <c r="J187" s="11" t="s">
        <v>471</v>
      </c>
      <c r="K187" s="11" t="s">
        <v>70</v>
      </c>
      <c r="L187" s="11" t="s">
        <v>48</v>
      </c>
      <c r="M187" s="11" t="s">
        <v>62</v>
      </c>
      <c r="N187" s="11"/>
      <c r="O187" s="12"/>
      <c r="P187" s="12"/>
    </row>
    <row r="188" customFormat="false" ht="23.85" hidden="false" customHeight="false" outlineLevel="0" collapsed="false">
      <c r="A188" s="11" t="s">
        <v>1021</v>
      </c>
      <c r="B188" s="11" t="s">
        <v>42</v>
      </c>
      <c r="C188" s="11" t="s">
        <v>1022</v>
      </c>
      <c r="D188" s="11"/>
      <c r="E188" s="11" t="s">
        <v>143</v>
      </c>
      <c r="F188" s="11" t="s">
        <v>137</v>
      </c>
      <c r="G188" s="11" t="s">
        <v>1023</v>
      </c>
      <c r="H188" s="11" t="s">
        <v>51</v>
      </c>
      <c r="I188" s="11" t="s">
        <v>1024</v>
      </c>
      <c r="J188" s="11" t="s">
        <v>471</v>
      </c>
      <c r="K188" s="11" t="s">
        <v>70</v>
      </c>
      <c r="L188" s="11" t="s">
        <v>48</v>
      </c>
      <c r="M188" s="11" t="s">
        <v>62</v>
      </c>
      <c r="N188" s="11"/>
      <c r="O188" s="12"/>
      <c r="P188" s="12"/>
    </row>
    <row r="189" customFormat="false" ht="23.85" hidden="false" customHeight="false" outlineLevel="0" collapsed="false">
      <c r="A189" s="11" t="s">
        <v>1025</v>
      </c>
      <c r="B189" s="11" t="s">
        <v>42</v>
      </c>
      <c r="C189" s="11" t="s">
        <v>1026</v>
      </c>
      <c r="D189" s="11" t="s">
        <v>1027</v>
      </c>
      <c r="E189" s="11" t="s">
        <v>248</v>
      </c>
      <c r="F189" s="11" t="s">
        <v>420</v>
      </c>
      <c r="G189" s="11" t="s">
        <v>1028</v>
      </c>
      <c r="H189" s="11" t="s">
        <v>50</v>
      </c>
      <c r="I189" s="11" t="s">
        <v>1029</v>
      </c>
      <c r="J189" s="11" t="s">
        <v>1030</v>
      </c>
      <c r="K189" s="11" t="s">
        <v>71</v>
      </c>
      <c r="L189" s="11" t="s">
        <v>46</v>
      </c>
      <c r="M189" s="11" t="s">
        <v>62</v>
      </c>
      <c r="N189" s="11" t="s">
        <v>1031</v>
      </c>
      <c r="O189" s="12"/>
      <c r="P189" s="12"/>
    </row>
    <row r="190" customFormat="false" ht="15" hidden="false" customHeight="false" outlineLevel="0" collapsed="false">
      <c r="A190" s="11" t="s">
        <v>1032</v>
      </c>
      <c r="B190" s="11" t="s">
        <v>42</v>
      </c>
      <c r="C190" s="11" t="s">
        <v>1033</v>
      </c>
      <c r="D190" s="11"/>
      <c r="E190" s="11" t="s">
        <v>233</v>
      </c>
      <c r="F190" s="11" t="s">
        <v>137</v>
      </c>
      <c r="G190" s="11" t="s">
        <v>1034</v>
      </c>
      <c r="H190" s="11" t="s">
        <v>53</v>
      </c>
      <c r="I190" s="11" t="s">
        <v>1035</v>
      </c>
      <c r="J190" s="11" t="s">
        <v>1036</v>
      </c>
      <c r="K190" s="11" t="s">
        <v>72</v>
      </c>
      <c r="L190" s="11" t="s">
        <v>46</v>
      </c>
      <c r="M190" s="11" t="s">
        <v>62</v>
      </c>
      <c r="N190" s="11"/>
      <c r="O190" s="12"/>
      <c r="P190" s="12"/>
    </row>
    <row r="191" customFormat="false" ht="35.05" hidden="false" customHeight="false" outlineLevel="0" collapsed="false">
      <c r="A191" s="11" t="s">
        <v>1037</v>
      </c>
      <c r="B191" s="11" t="s">
        <v>42</v>
      </c>
      <c r="C191" s="11" t="s">
        <v>1038</v>
      </c>
      <c r="D191" s="11" t="s">
        <v>1039</v>
      </c>
      <c r="E191" s="11" t="s">
        <v>233</v>
      </c>
      <c r="F191" s="11" t="s">
        <v>539</v>
      </c>
      <c r="G191" s="11" t="s">
        <v>1040</v>
      </c>
      <c r="H191" s="11" t="s">
        <v>53</v>
      </c>
      <c r="I191" s="11" t="s">
        <v>1041</v>
      </c>
      <c r="J191" s="11" t="s">
        <v>1042</v>
      </c>
      <c r="K191" s="11" t="s">
        <v>72</v>
      </c>
      <c r="L191" s="11" t="s">
        <v>47</v>
      </c>
      <c r="M191" s="11" t="s">
        <v>62</v>
      </c>
      <c r="N191" s="11"/>
      <c r="O191" s="12"/>
      <c r="P191" s="12"/>
    </row>
    <row r="192" customFormat="false" ht="15" hidden="false" customHeight="false" outlineLevel="0" collapsed="false">
      <c r="A192" s="11" t="s">
        <v>1043</v>
      </c>
      <c r="B192" s="11" t="s">
        <v>42</v>
      </c>
      <c r="C192" s="11" t="s">
        <v>1044</v>
      </c>
      <c r="D192" s="11" t="s">
        <v>1045</v>
      </c>
      <c r="E192" s="11" t="s">
        <v>1046</v>
      </c>
      <c r="F192" s="11" t="s">
        <v>628</v>
      </c>
      <c r="G192" s="11" t="s">
        <v>1047</v>
      </c>
      <c r="H192" s="11" t="s">
        <v>50</v>
      </c>
      <c r="I192" s="11" t="s">
        <v>1048</v>
      </c>
      <c r="J192" s="11" t="s">
        <v>471</v>
      </c>
      <c r="K192" s="11" t="s">
        <v>70</v>
      </c>
      <c r="L192" s="11" t="s">
        <v>48</v>
      </c>
      <c r="M192" s="11" t="s">
        <v>62</v>
      </c>
      <c r="N192" s="11"/>
      <c r="O192" s="12"/>
      <c r="P192" s="12"/>
    </row>
    <row r="193" customFormat="false" ht="23.85" hidden="false" customHeight="false" outlineLevel="0" collapsed="false">
      <c r="A193" s="11" t="s">
        <v>1049</v>
      </c>
      <c r="B193" s="11" t="s">
        <v>42</v>
      </c>
      <c r="C193" s="11" t="s">
        <v>1050</v>
      </c>
      <c r="D193" s="11" t="s">
        <v>1051</v>
      </c>
      <c r="E193" s="11" t="s">
        <v>815</v>
      </c>
      <c r="F193" s="11" t="s">
        <v>815</v>
      </c>
      <c r="G193" s="11" t="s">
        <v>1052</v>
      </c>
      <c r="H193" s="11" t="s">
        <v>51</v>
      </c>
      <c r="I193" s="11" t="s">
        <v>1053</v>
      </c>
      <c r="J193" s="11" t="s">
        <v>471</v>
      </c>
      <c r="K193" s="11" t="s">
        <v>70</v>
      </c>
      <c r="L193" s="11" t="s">
        <v>47</v>
      </c>
      <c r="M193" s="11" t="s">
        <v>62</v>
      </c>
      <c r="N193" s="11" t="s">
        <v>1054</v>
      </c>
      <c r="O193" s="12"/>
      <c r="P193" s="12"/>
    </row>
    <row r="194" customFormat="false" ht="23.85" hidden="false" customHeight="false" outlineLevel="0" collapsed="false">
      <c r="A194" s="11" t="s">
        <v>1055</v>
      </c>
      <c r="B194" s="11" t="s">
        <v>43</v>
      </c>
      <c r="C194" s="11" t="s">
        <v>1056</v>
      </c>
      <c r="D194" s="11"/>
      <c r="E194" s="11" t="s">
        <v>88</v>
      </c>
      <c r="F194" s="11" t="s">
        <v>420</v>
      </c>
      <c r="G194" s="11" t="s">
        <v>1057</v>
      </c>
      <c r="H194" s="11" t="s">
        <v>54</v>
      </c>
      <c r="I194" s="11" t="s">
        <v>1058</v>
      </c>
      <c r="J194" s="11" t="s">
        <v>68</v>
      </c>
      <c r="K194" s="11" t="s">
        <v>68</v>
      </c>
      <c r="L194" s="11" t="s">
        <v>46</v>
      </c>
      <c r="M194" s="11" t="s">
        <v>61</v>
      </c>
      <c r="N194" s="11"/>
      <c r="O194" s="12"/>
      <c r="P194" s="12"/>
    </row>
    <row r="195" customFormat="false" ht="23.85" hidden="false" customHeight="false" outlineLevel="0" collapsed="false">
      <c r="A195" s="11" t="s">
        <v>1059</v>
      </c>
      <c r="B195" s="11" t="s">
        <v>43</v>
      </c>
      <c r="C195" s="11" t="s">
        <v>1060</v>
      </c>
      <c r="D195" s="11" t="s">
        <v>1061</v>
      </c>
      <c r="E195" s="11" t="s">
        <v>419</v>
      </c>
      <c r="F195" s="11" t="s">
        <v>1062</v>
      </c>
      <c r="G195" s="11" t="s">
        <v>1063</v>
      </c>
      <c r="H195" s="11" t="s">
        <v>54</v>
      </c>
      <c r="I195" s="11" t="s">
        <v>1064</v>
      </c>
      <c r="J195" s="11" t="s">
        <v>68</v>
      </c>
      <c r="K195" s="11" t="s">
        <v>68</v>
      </c>
      <c r="L195" s="11" t="s">
        <v>46</v>
      </c>
      <c r="M195" s="11" t="s">
        <v>61</v>
      </c>
      <c r="N195" s="11" t="s">
        <v>1065</v>
      </c>
      <c r="O195" s="12"/>
      <c r="P195" s="12"/>
    </row>
    <row r="196" customFormat="false" ht="23.85" hidden="false" customHeight="false" outlineLevel="0" collapsed="false">
      <c r="A196" s="11" t="s">
        <v>1066</v>
      </c>
      <c r="B196" s="11" t="s">
        <v>43</v>
      </c>
      <c r="C196" s="11" t="s">
        <v>1067</v>
      </c>
      <c r="D196" s="11"/>
      <c r="E196" s="11" t="s">
        <v>143</v>
      </c>
      <c r="F196" s="11" t="s">
        <v>420</v>
      </c>
      <c r="G196" s="11" t="s">
        <v>1068</v>
      </c>
      <c r="H196" s="11" t="s">
        <v>54</v>
      </c>
      <c r="I196" s="11" t="s">
        <v>1069</v>
      </c>
      <c r="J196" s="11" t="s">
        <v>68</v>
      </c>
      <c r="K196" s="11" t="s">
        <v>68</v>
      </c>
      <c r="L196" s="11" t="s">
        <v>46</v>
      </c>
      <c r="M196" s="11" t="s">
        <v>61</v>
      </c>
      <c r="N196" s="11"/>
      <c r="O196" s="12"/>
      <c r="P196" s="12"/>
    </row>
    <row r="197" customFormat="false" ht="23.85" hidden="false" customHeight="false" outlineLevel="0" collapsed="false">
      <c r="A197" s="11" t="s">
        <v>1070</v>
      </c>
      <c r="B197" s="11" t="s">
        <v>43</v>
      </c>
      <c r="C197" s="11" t="s">
        <v>1071</v>
      </c>
      <c r="D197" s="11" t="s">
        <v>1072</v>
      </c>
      <c r="E197" s="11" t="s">
        <v>143</v>
      </c>
      <c r="F197" s="11" t="s">
        <v>420</v>
      </c>
      <c r="G197" s="11" t="s">
        <v>1073</v>
      </c>
      <c r="H197" s="11" t="s">
        <v>54</v>
      </c>
      <c r="I197" s="11" t="s">
        <v>1058</v>
      </c>
      <c r="J197" s="11" t="s">
        <v>68</v>
      </c>
      <c r="K197" s="11" t="s">
        <v>68</v>
      </c>
      <c r="L197" s="11" t="s">
        <v>46</v>
      </c>
      <c r="M197" s="11" t="s">
        <v>63</v>
      </c>
      <c r="N197" s="11"/>
      <c r="O197" s="12"/>
      <c r="P197" s="12"/>
    </row>
    <row r="198" customFormat="false" ht="23.85" hidden="false" customHeight="false" outlineLevel="0" collapsed="false">
      <c r="A198" s="11" t="s">
        <v>1074</v>
      </c>
      <c r="B198" s="11" t="s">
        <v>43</v>
      </c>
      <c r="C198" s="11" t="s">
        <v>1075</v>
      </c>
      <c r="D198" s="11" t="s">
        <v>1076</v>
      </c>
      <c r="E198" s="11" t="s">
        <v>233</v>
      </c>
      <c r="F198" s="11" t="s">
        <v>1077</v>
      </c>
      <c r="G198" s="11" t="s">
        <v>1078</v>
      </c>
      <c r="H198" s="11" t="s">
        <v>54</v>
      </c>
      <c r="I198" s="11" t="s">
        <v>1058</v>
      </c>
      <c r="J198" s="11" t="s">
        <v>68</v>
      </c>
      <c r="K198" s="11" t="s">
        <v>68</v>
      </c>
      <c r="L198" s="11" t="s">
        <v>46</v>
      </c>
      <c r="M198" s="11" t="s">
        <v>63</v>
      </c>
      <c r="N198" s="11"/>
      <c r="O198" s="12"/>
      <c r="P198" s="12"/>
    </row>
    <row r="199" customFormat="false" ht="23.85" hidden="false" customHeight="false" outlineLevel="0" collapsed="false">
      <c r="A199" s="11" t="s">
        <v>1079</v>
      </c>
      <c r="B199" s="11" t="s">
        <v>43</v>
      </c>
      <c r="C199" s="11" t="s">
        <v>1080</v>
      </c>
      <c r="D199" s="11" t="s">
        <v>1081</v>
      </c>
      <c r="E199" s="11" t="s">
        <v>488</v>
      </c>
      <c r="F199" s="11" t="s">
        <v>420</v>
      </c>
      <c r="G199" s="11" t="s">
        <v>1082</v>
      </c>
      <c r="H199" s="11" t="s">
        <v>54</v>
      </c>
      <c r="I199" s="11" t="s">
        <v>1058</v>
      </c>
      <c r="J199" s="11" t="s">
        <v>68</v>
      </c>
      <c r="K199" s="11" t="s">
        <v>68</v>
      </c>
      <c r="L199" s="11" t="s">
        <v>46</v>
      </c>
      <c r="M199" s="11" t="s">
        <v>63</v>
      </c>
      <c r="N199" s="11"/>
      <c r="O199" s="12"/>
      <c r="P199" s="12"/>
    </row>
    <row r="200" customFormat="false" ht="23.85" hidden="false" customHeight="false" outlineLevel="0" collapsed="false">
      <c r="A200" s="11" t="s">
        <v>1083</v>
      </c>
      <c r="B200" s="11" t="s">
        <v>43</v>
      </c>
      <c r="C200" s="11" t="s">
        <v>1084</v>
      </c>
      <c r="D200" s="11" t="s">
        <v>1085</v>
      </c>
      <c r="E200" s="11" t="s">
        <v>295</v>
      </c>
      <c r="F200" s="11" t="s">
        <v>420</v>
      </c>
      <c r="G200" s="11" t="s">
        <v>1086</v>
      </c>
      <c r="H200" s="11" t="s">
        <v>54</v>
      </c>
      <c r="I200" s="11" t="s">
        <v>1058</v>
      </c>
      <c r="J200" s="11" t="s">
        <v>68</v>
      </c>
      <c r="K200" s="11" t="s">
        <v>68</v>
      </c>
      <c r="L200" s="11" t="s">
        <v>47</v>
      </c>
      <c r="M200" s="11" t="s">
        <v>63</v>
      </c>
      <c r="N200" s="11"/>
      <c r="O200" s="12"/>
      <c r="P200" s="12"/>
    </row>
    <row r="201" customFormat="false" ht="23.85" hidden="false" customHeight="false" outlineLevel="0" collapsed="false">
      <c r="A201" s="11" t="s">
        <v>1087</v>
      </c>
      <c r="B201" s="11" t="s">
        <v>43</v>
      </c>
      <c r="C201" s="11" t="s">
        <v>1088</v>
      </c>
      <c r="D201" s="11" t="s">
        <v>1089</v>
      </c>
      <c r="E201" s="11" t="s">
        <v>1018</v>
      </c>
      <c r="F201" s="11" t="s">
        <v>1090</v>
      </c>
      <c r="G201" s="11" t="s">
        <v>1091</v>
      </c>
      <c r="H201" s="11" t="s">
        <v>54</v>
      </c>
      <c r="I201" s="11" t="s">
        <v>1058</v>
      </c>
      <c r="J201" s="11" t="s">
        <v>68</v>
      </c>
      <c r="K201" s="11" t="s">
        <v>68</v>
      </c>
      <c r="L201" s="11" t="s">
        <v>46</v>
      </c>
      <c r="M201" s="11" t="s">
        <v>61</v>
      </c>
      <c r="N201" s="11"/>
      <c r="O201" s="12"/>
      <c r="P201" s="12"/>
    </row>
    <row r="202" customFormat="false" ht="23.85" hidden="false" customHeight="false" outlineLevel="0" collapsed="false">
      <c r="A202" s="11" t="s">
        <v>1092</v>
      </c>
      <c r="B202" s="11" t="s">
        <v>43</v>
      </c>
      <c r="C202" s="11" t="s">
        <v>1093</v>
      </c>
      <c r="D202" s="11" t="s">
        <v>1094</v>
      </c>
      <c r="E202" s="11" t="s">
        <v>143</v>
      </c>
      <c r="F202" s="11" t="s">
        <v>674</v>
      </c>
      <c r="G202" s="11" t="s">
        <v>1095</v>
      </c>
      <c r="H202" s="11" t="s">
        <v>54</v>
      </c>
      <c r="I202" s="11" t="s">
        <v>1058</v>
      </c>
      <c r="J202" s="11" t="s">
        <v>68</v>
      </c>
      <c r="K202" s="11" t="s">
        <v>68</v>
      </c>
      <c r="L202" s="11" t="s">
        <v>47</v>
      </c>
      <c r="M202" s="11" t="s">
        <v>61</v>
      </c>
      <c r="N202" s="11"/>
      <c r="O202" s="12"/>
      <c r="P202" s="12"/>
    </row>
    <row r="203" customFormat="false" ht="23.85" hidden="false" customHeight="false" outlineLevel="0" collapsed="false">
      <c r="A203" s="11" t="s">
        <v>1096</v>
      </c>
      <c r="B203" s="11" t="s">
        <v>43</v>
      </c>
      <c r="C203" s="11" t="s">
        <v>1097</v>
      </c>
      <c r="D203" s="11" t="s">
        <v>1098</v>
      </c>
      <c r="E203" s="11" t="s">
        <v>143</v>
      </c>
      <c r="F203" s="11" t="s">
        <v>420</v>
      </c>
      <c r="G203" s="11" t="s">
        <v>1099</v>
      </c>
      <c r="H203" s="11" t="s">
        <v>54</v>
      </c>
      <c r="I203" s="11" t="s">
        <v>1058</v>
      </c>
      <c r="J203" s="11" t="s">
        <v>68</v>
      </c>
      <c r="K203" s="11" t="s">
        <v>68</v>
      </c>
      <c r="L203" s="11" t="s">
        <v>47</v>
      </c>
      <c r="M203" s="11" t="s">
        <v>64</v>
      </c>
      <c r="N203" s="11"/>
      <c r="O203" s="12"/>
      <c r="P203" s="12"/>
    </row>
    <row r="204" customFormat="false" ht="23.85" hidden="false" customHeight="false" outlineLevel="0" collapsed="false">
      <c r="A204" s="11" t="s">
        <v>1100</v>
      </c>
      <c r="B204" s="11" t="s">
        <v>43</v>
      </c>
      <c r="C204" s="11" t="s">
        <v>1101</v>
      </c>
      <c r="D204" s="11" t="s">
        <v>1102</v>
      </c>
      <c r="E204" s="11" t="s">
        <v>143</v>
      </c>
      <c r="F204" s="11" t="s">
        <v>137</v>
      </c>
      <c r="G204" s="11" t="s">
        <v>886</v>
      </c>
      <c r="H204" s="11" t="s">
        <v>54</v>
      </c>
      <c r="I204" s="11" t="s">
        <v>1103</v>
      </c>
      <c r="J204" s="11" t="s">
        <v>68</v>
      </c>
      <c r="K204" s="11" t="s">
        <v>68</v>
      </c>
      <c r="L204" s="11" t="s">
        <v>47</v>
      </c>
      <c r="M204" s="11" t="s">
        <v>61</v>
      </c>
      <c r="N204" s="11"/>
      <c r="O204" s="12"/>
      <c r="P204" s="12"/>
    </row>
    <row r="205" customFormat="false" ht="23.85" hidden="false" customHeight="false" outlineLevel="0" collapsed="false">
      <c r="A205" s="11" t="s">
        <v>1104</v>
      </c>
      <c r="B205" s="11" t="s">
        <v>43</v>
      </c>
      <c r="C205" s="11" t="s">
        <v>1105</v>
      </c>
      <c r="D205" s="11" t="s">
        <v>1106</v>
      </c>
      <c r="E205" s="11" t="s">
        <v>143</v>
      </c>
      <c r="F205" s="11" t="s">
        <v>1107</v>
      </c>
      <c r="G205" s="11" t="s">
        <v>886</v>
      </c>
      <c r="H205" s="11" t="s">
        <v>54</v>
      </c>
      <c r="I205" s="11" t="s">
        <v>1108</v>
      </c>
      <c r="J205" s="11" t="s">
        <v>68</v>
      </c>
      <c r="K205" s="11" t="s">
        <v>68</v>
      </c>
      <c r="L205" s="11" t="s">
        <v>47</v>
      </c>
      <c r="M205" s="11" t="s">
        <v>64</v>
      </c>
      <c r="N205" s="11" t="s">
        <v>1109</v>
      </c>
      <c r="O205" s="12"/>
      <c r="P205" s="12"/>
    </row>
    <row r="206" customFormat="false" ht="23.85" hidden="false" customHeight="false" outlineLevel="0" collapsed="false">
      <c r="A206" s="11" t="s">
        <v>1110</v>
      </c>
      <c r="B206" s="11" t="s">
        <v>43</v>
      </c>
      <c r="C206" s="11" t="s">
        <v>1111</v>
      </c>
      <c r="D206" s="11" t="s">
        <v>1112</v>
      </c>
      <c r="E206" s="11" t="s">
        <v>791</v>
      </c>
      <c r="F206" s="11" t="s">
        <v>137</v>
      </c>
      <c r="G206" s="11" t="s">
        <v>886</v>
      </c>
      <c r="H206" s="11" t="s">
        <v>54</v>
      </c>
      <c r="I206" s="11" t="s">
        <v>1113</v>
      </c>
      <c r="J206" s="11" t="s">
        <v>68</v>
      </c>
      <c r="K206" s="11" t="s">
        <v>68</v>
      </c>
      <c r="L206" s="11" t="s">
        <v>48</v>
      </c>
      <c r="M206" s="11" t="s">
        <v>63</v>
      </c>
      <c r="N206" s="11"/>
      <c r="O206" s="12"/>
      <c r="P206" s="12"/>
    </row>
    <row r="207" customFormat="false" ht="23.85" hidden="false" customHeight="false" outlineLevel="0" collapsed="false">
      <c r="A207" s="11" t="s">
        <v>1114</v>
      </c>
      <c r="B207" s="11" t="s">
        <v>43</v>
      </c>
      <c r="C207" s="11" t="s">
        <v>1115</v>
      </c>
      <c r="D207" s="11" t="s">
        <v>1116</v>
      </c>
      <c r="E207" s="11" t="s">
        <v>228</v>
      </c>
      <c r="F207" s="11" t="s">
        <v>1117</v>
      </c>
      <c r="G207" s="11" t="s">
        <v>886</v>
      </c>
      <c r="H207" s="11" t="s">
        <v>54</v>
      </c>
      <c r="I207" s="11" t="s">
        <v>1058</v>
      </c>
      <c r="J207" s="11" t="s">
        <v>68</v>
      </c>
      <c r="K207" s="11" t="s">
        <v>68</v>
      </c>
      <c r="L207" s="11" t="s">
        <v>48</v>
      </c>
      <c r="M207" s="11" t="s">
        <v>64</v>
      </c>
      <c r="N207" s="11"/>
      <c r="O207" s="12"/>
      <c r="P207" s="12"/>
    </row>
  </sheetData>
  <autoFilter ref="A1:P207"/>
  <conditionalFormatting sqref="K2:K207">
    <cfRule type="expression" priority="2" aboveAverage="0" equalAverage="0" bottom="0" percent="0" rank="0" text="" dxfId="6">
      <formula>LEFT($K2,8)="Verified"</formula>
    </cfRule>
    <cfRule type="expression" priority="3" aboveAverage="0" equalAverage="0" bottom="0" percent="0" rank="0" text="" dxfId="7">
      <formula>LEFT($K2,6)="Listed"</formula>
    </cfRule>
  </conditionalFormatting>
  <dataValidations count="2">
    <dataValidation allowBlank="true" errorStyle="stop" operator="between" showDropDown="false" showErrorMessage="false" showInputMessage="false" sqref="O2:O207" type="list">
      <formula1>"Include,Later,Skip"</formula1>
      <formula2>0</formula2>
    </dataValidation>
    <dataValidation allowBlank="false" errorStyle="stop" operator="between" showDropDown="false" showErrorMessage="false" showInputMessage="false" sqref="L2:L207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1118</v>
      </c>
    </row>
    <row r="2" customFormat="false" ht="15" hidden="false" customHeight="false" outlineLevel="0" collapsed="false">
      <c r="A2" s="5" t="s">
        <v>1119</v>
      </c>
    </row>
    <row r="4" customFormat="false" ht="30" hidden="false" customHeight="true" outlineLevel="0" collapsed="false">
      <c r="A4" s="10" t="s">
        <v>1120</v>
      </c>
      <c r="B4" s="10" t="s">
        <v>1121</v>
      </c>
      <c r="C4" s="10" t="s">
        <v>1122</v>
      </c>
      <c r="D4" s="10" t="s">
        <v>1123</v>
      </c>
      <c r="E4" s="10" t="s">
        <v>1124</v>
      </c>
      <c r="F4" s="10" t="s">
        <v>1125</v>
      </c>
      <c r="G4" s="10" t="s">
        <v>1126</v>
      </c>
    </row>
    <row r="5" customFormat="false" ht="15" hidden="false" customHeight="false" outlineLevel="0" collapsed="false">
      <c r="A5" s="11" t="s">
        <v>1127</v>
      </c>
      <c r="B5" s="11" t="s">
        <v>1128</v>
      </c>
      <c r="C5" s="11" t="s">
        <v>1129</v>
      </c>
      <c r="D5" s="11" t="n">
        <v>1</v>
      </c>
      <c r="E5" s="11" t="s">
        <v>1130</v>
      </c>
      <c r="F5" s="11" t="s">
        <v>1130</v>
      </c>
      <c r="G5" s="11" t="s">
        <v>1131</v>
      </c>
    </row>
    <row r="6" customFormat="false" ht="15" hidden="false" customHeight="false" outlineLevel="0" collapsed="false">
      <c r="A6" s="11" t="s">
        <v>1127</v>
      </c>
      <c r="B6" s="11" t="s">
        <v>1132</v>
      </c>
      <c r="C6" s="11" t="s">
        <v>1129</v>
      </c>
      <c r="D6" s="11" t="n">
        <v>1</v>
      </c>
      <c r="E6" s="11" t="s">
        <v>1130</v>
      </c>
      <c r="F6" s="11" t="s">
        <v>1130</v>
      </c>
      <c r="G6" s="11" t="s">
        <v>1131</v>
      </c>
    </row>
    <row r="7" customFormat="false" ht="15" hidden="false" customHeight="false" outlineLevel="0" collapsed="false">
      <c r="A7" s="11" t="s">
        <v>1127</v>
      </c>
      <c r="B7" s="11" t="s">
        <v>1133</v>
      </c>
      <c r="C7" s="11" t="s">
        <v>1129</v>
      </c>
      <c r="D7" s="11" t="n">
        <v>15</v>
      </c>
      <c r="E7" s="11" t="s">
        <v>1134</v>
      </c>
      <c r="F7" s="11" t="s">
        <v>1135</v>
      </c>
      <c r="G7" s="11"/>
    </row>
    <row r="8" customFormat="false" ht="15" hidden="false" customHeight="false" outlineLevel="0" collapsed="false">
      <c r="A8" s="11" t="s">
        <v>1127</v>
      </c>
      <c r="B8" s="11" t="s">
        <v>1136</v>
      </c>
      <c r="C8" s="11" t="s">
        <v>1129</v>
      </c>
      <c r="D8" s="11" t="n">
        <v>12</v>
      </c>
      <c r="E8" s="11" t="s">
        <v>1137</v>
      </c>
      <c r="F8" s="11" t="s">
        <v>1135</v>
      </c>
      <c r="G8" s="11"/>
    </row>
    <row r="9" customFormat="false" ht="15" hidden="false" customHeight="false" outlineLevel="0" collapsed="false">
      <c r="A9" s="11" t="s">
        <v>1127</v>
      </c>
      <c r="B9" s="11" t="s">
        <v>1138</v>
      </c>
      <c r="C9" s="11" t="s">
        <v>1129</v>
      </c>
      <c r="D9" s="11" t="n">
        <v>1</v>
      </c>
      <c r="E9" s="11" t="s">
        <v>1130</v>
      </c>
      <c r="F9" s="11" t="s">
        <v>1130</v>
      </c>
      <c r="G9" s="11" t="s">
        <v>1131</v>
      </c>
    </row>
    <row r="10" customFormat="false" ht="15" hidden="false" customHeight="false" outlineLevel="0" collapsed="false">
      <c r="A10" s="11" t="s">
        <v>1139</v>
      </c>
      <c r="B10" s="11" t="s">
        <v>1140</v>
      </c>
      <c r="C10" s="11" t="s">
        <v>1129</v>
      </c>
      <c r="D10" s="11" t="n">
        <v>4</v>
      </c>
      <c r="E10" s="11" t="s">
        <v>1141</v>
      </c>
      <c r="F10" s="11" t="s">
        <v>1142</v>
      </c>
      <c r="G10" s="11"/>
    </row>
    <row r="11" customFormat="false" ht="15" hidden="false" customHeight="false" outlineLevel="0" collapsed="false">
      <c r="A11" s="11" t="s">
        <v>1139</v>
      </c>
      <c r="B11" s="11" t="s">
        <v>1143</v>
      </c>
      <c r="C11" s="11" t="s">
        <v>1129</v>
      </c>
      <c r="D11" s="11" t="n">
        <v>15</v>
      </c>
      <c r="E11" s="11" t="s">
        <v>1144</v>
      </c>
      <c r="F11" s="11" t="s">
        <v>1142</v>
      </c>
      <c r="G11" s="11"/>
    </row>
    <row r="12" customFormat="false" ht="15" hidden="false" customHeight="false" outlineLevel="0" collapsed="false">
      <c r="A12" s="11" t="s">
        <v>271</v>
      </c>
      <c r="B12" s="11" t="s">
        <v>1145</v>
      </c>
      <c r="C12" s="11" t="s">
        <v>1129</v>
      </c>
      <c r="D12" s="11" t="n">
        <v>4</v>
      </c>
      <c r="E12" s="11" t="s">
        <v>1141</v>
      </c>
      <c r="F12" s="11" t="s">
        <v>1142</v>
      </c>
      <c r="G12" s="11"/>
    </row>
    <row r="13" customFormat="false" ht="15" hidden="false" customHeight="false" outlineLevel="0" collapsed="false">
      <c r="A13" s="11" t="s">
        <v>271</v>
      </c>
      <c r="B13" s="11" t="s">
        <v>1146</v>
      </c>
      <c r="C13" s="11" t="s">
        <v>1147</v>
      </c>
      <c r="D13" s="11" t="n">
        <v>3</v>
      </c>
      <c r="E13" s="11" t="s">
        <v>1148</v>
      </c>
      <c r="F13" s="11" t="s">
        <v>1149</v>
      </c>
      <c r="G13" s="11"/>
    </row>
    <row r="14" customFormat="false" ht="15" hidden="false" customHeight="false" outlineLevel="0" collapsed="false">
      <c r="A14" s="11" t="s">
        <v>271</v>
      </c>
      <c r="B14" s="11" t="s">
        <v>1150</v>
      </c>
      <c r="C14" s="11" t="s">
        <v>1129</v>
      </c>
      <c r="D14" s="11" t="n">
        <v>15</v>
      </c>
      <c r="E14" s="11" t="s">
        <v>1144</v>
      </c>
      <c r="F14" s="11" t="s">
        <v>1142</v>
      </c>
      <c r="G14" s="11"/>
    </row>
    <row r="15" customFormat="false" ht="15" hidden="false" customHeight="false" outlineLevel="0" collapsed="false">
      <c r="A15" s="11" t="s">
        <v>271</v>
      </c>
      <c r="B15" s="11" t="s">
        <v>1151</v>
      </c>
      <c r="C15" s="11" t="s">
        <v>1147</v>
      </c>
      <c r="D15" s="11" t="n">
        <v>14</v>
      </c>
      <c r="E15" s="11" t="s">
        <v>1152</v>
      </c>
      <c r="F15" s="11" t="s">
        <v>1149</v>
      </c>
      <c r="G15" s="11"/>
    </row>
    <row r="16" customFormat="false" ht="15" hidden="false" customHeight="false" outlineLevel="0" collapsed="false">
      <c r="A16" s="11" t="s">
        <v>1153</v>
      </c>
      <c r="B16" s="11" t="s">
        <v>1154</v>
      </c>
      <c r="C16" s="11" t="s">
        <v>1129</v>
      </c>
      <c r="D16" s="11" t="n">
        <v>16</v>
      </c>
      <c r="E16" s="11" t="s">
        <v>1155</v>
      </c>
      <c r="F16" s="11" t="s">
        <v>1148</v>
      </c>
      <c r="G16" s="11"/>
    </row>
    <row r="17" customFormat="false" ht="15" hidden="false" customHeight="false" outlineLevel="0" collapsed="false">
      <c r="A17" s="11" t="s">
        <v>1153</v>
      </c>
      <c r="B17" s="11" t="s">
        <v>1156</v>
      </c>
      <c r="C17" s="11" t="s">
        <v>1129</v>
      </c>
      <c r="D17" s="11" t="n">
        <v>4</v>
      </c>
      <c r="E17" s="11" t="s">
        <v>1157</v>
      </c>
      <c r="F17" s="11" t="s">
        <v>1158</v>
      </c>
      <c r="G17" s="11"/>
    </row>
    <row r="18" customFormat="false" ht="15" hidden="false" customHeight="false" outlineLevel="0" collapsed="false">
      <c r="A18" s="11" t="s">
        <v>1159</v>
      </c>
      <c r="B18" s="11" t="s">
        <v>1160</v>
      </c>
      <c r="C18" s="11" t="s">
        <v>1129</v>
      </c>
      <c r="D18" s="11" t="n">
        <v>1</v>
      </c>
      <c r="E18" s="11" t="s">
        <v>1149</v>
      </c>
      <c r="F18" s="11" t="s">
        <v>1149</v>
      </c>
      <c r="G18" s="11"/>
    </row>
    <row r="19" customFormat="false" ht="15" hidden="false" customHeight="false" outlineLevel="0" collapsed="false">
      <c r="A19" s="11" t="s">
        <v>1159</v>
      </c>
      <c r="B19" s="11" t="s">
        <v>1161</v>
      </c>
      <c r="C19" s="11" t="s">
        <v>1129</v>
      </c>
      <c r="D19" s="11" t="n">
        <v>2</v>
      </c>
      <c r="E19" s="11" t="s">
        <v>1149</v>
      </c>
      <c r="F19" s="11" t="s">
        <v>1162</v>
      </c>
      <c r="G19" s="11"/>
    </row>
    <row r="20" customFormat="false" ht="15" hidden="false" customHeight="false" outlineLevel="0" collapsed="false">
      <c r="A20" s="11" t="s">
        <v>1163</v>
      </c>
      <c r="B20" s="11" t="s">
        <v>1164</v>
      </c>
      <c r="C20" s="11" t="s">
        <v>1129</v>
      </c>
      <c r="D20" s="11" t="n">
        <v>4</v>
      </c>
      <c r="E20" s="11" t="s">
        <v>1165</v>
      </c>
      <c r="F20" s="11" t="s">
        <v>1149</v>
      </c>
      <c r="G20" s="11"/>
    </row>
    <row r="21" customFormat="false" ht="15" hidden="false" customHeight="false" outlineLevel="0" collapsed="false">
      <c r="A21" s="11" t="s">
        <v>1163</v>
      </c>
      <c r="B21" s="11" t="s">
        <v>1166</v>
      </c>
      <c r="C21" s="11" t="s">
        <v>1129</v>
      </c>
      <c r="D21" s="11" t="n">
        <v>5</v>
      </c>
      <c r="E21" s="11" t="s">
        <v>1165</v>
      </c>
      <c r="F21" s="11" t="s">
        <v>1162</v>
      </c>
      <c r="G21" s="11"/>
    </row>
    <row r="22" customFormat="false" ht="15" hidden="false" customHeight="false" outlineLevel="0" collapsed="false">
      <c r="A22" s="11" t="s">
        <v>1163</v>
      </c>
      <c r="B22" s="11" t="s">
        <v>1167</v>
      </c>
      <c r="C22" s="11" t="s">
        <v>1129</v>
      </c>
      <c r="D22" s="11" t="n">
        <v>15</v>
      </c>
      <c r="E22" s="11" t="s">
        <v>1168</v>
      </c>
      <c r="F22" s="11" t="s">
        <v>1149</v>
      </c>
      <c r="G22" s="11"/>
    </row>
    <row r="23" customFormat="false" ht="15" hidden="false" customHeight="false" outlineLevel="0" collapsed="false">
      <c r="A23" s="11" t="s">
        <v>1163</v>
      </c>
      <c r="B23" s="11" t="s">
        <v>1169</v>
      </c>
      <c r="C23" s="11" t="s">
        <v>1129</v>
      </c>
      <c r="D23" s="11" t="n">
        <v>15</v>
      </c>
      <c r="E23" s="11" t="s">
        <v>1168</v>
      </c>
      <c r="F23" s="11" t="s">
        <v>1149</v>
      </c>
      <c r="G23" s="11"/>
    </row>
    <row r="24" customFormat="false" ht="15" hidden="false" customHeight="false" outlineLevel="0" collapsed="false">
      <c r="A24" s="11" t="s">
        <v>1163</v>
      </c>
      <c r="B24" s="11" t="s">
        <v>1170</v>
      </c>
      <c r="C24" s="11" t="s">
        <v>1129</v>
      </c>
      <c r="D24" s="11" t="n">
        <v>4</v>
      </c>
      <c r="E24" s="11" t="s">
        <v>1165</v>
      </c>
      <c r="F24" s="11" t="s">
        <v>1149</v>
      </c>
      <c r="G24" s="11"/>
    </row>
    <row r="25" customFormat="false" ht="15" hidden="false" customHeight="false" outlineLevel="0" collapsed="false">
      <c r="A25" s="11" t="s">
        <v>1163</v>
      </c>
      <c r="B25" s="11" t="s">
        <v>1171</v>
      </c>
      <c r="C25" s="11" t="s">
        <v>1129</v>
      </c>
      <c r="D25" s="11" t="n">
        <v>5</v>
      </c>
      <c r="E25" s="11" t="s">
        <v>1165</v>
      </c>
      <c r="F25" s="11" t="s">
        <v>1162</v>
      </c>
      <c r="G25" s="11"/>
    </row>
    <row r="26" customFormat="false" ht="15" hidden="false" customHeight="false" outlineLevel="0" collapsed="false">
      <c r="A26" s="11" t="s">
        <v>1163</v>
      </c>
      <c r="B26" s="11" t="s">
        <v>1172</v>
      </c>
      <c r="C26" s="11" t="s">
        <v>1129</v>
      </c>
      <c r="D26" s="11" t="n">
        <v>15</v>
      </c>
      <c r="E26" s="11" t="s">
        <v>1168</v>
      </c>
      <c r="F26" s="11" t="s">
        <v>1149</v>
      </c>
      <c r="G26" s="11"/>
    </row>
    <row r="27" customFormat="false" ht="15" hidden="false" customHeight="false" outlineLevel="0" collapsed="false">
      <c r="A27" s="11" t="s">
        <v>1163</v>
      </c>
      <c r="B27" s="11" t="s">
        <v>1173</v>
      </c>
      <c r="C27" s="11" t="s">
        <v>1129</v>
      </c>
      <c r="D27" s="11" t="n">
        <v>15</v>
      </c>
      <c r="E27" s="11" t="s">
        <v>1168</v>
      </c>
      <c r="F27" s="11" t="s">
        <v>1149</v>
      </c>
      <c r="G27" s="11"/>
    </row>
    <row r="28" customFormat="false" ht="15" hidden="false" customHeight="false" outlineLevel="0" collapsed="false">
      <c r="A28" s="11" t="s">
        <v>1163</v>
      </c>
      <c r="B28" s="11" t="s">
        <v>1174</v>
      </c>
      <c r="C28" s="11" t="s">
        <v>1129</v>
      </c>
      <c r="D28" s="11" t="n">
        <v>3</v>
      </c>
      <c r="E28" s="11" t="s">
        <v>1165</v>
      </c>
      <c r="F28" s="11" t="s">
        <v>1175</v>
      </c>
      <c r="G28" s="11"/>
    </row>
    <row r="29" customFormat="false" ht="15" hidden="false" customHeight="false" outlineLevel="0" collapsed="false">
      <c r="A29" s="11" t="s">
        <v>1163</v>
      </c>
      <c r="B29" s="11" t="s">
        <v>1176</v>
      </c>
      <c r="C29" s="11" t="s">
        <v>1129</v>
      </c>
      <c r="D29" s="11" t="n">
        <v>13</v>
      </c>
      <c r="E29" s="11" t="s">
        <v>1168</v>
      </c>
      <c r="F29" s="11" t="s">
        <v>1148</v>
      </c>
      <c r="G29" s="11"/>
    </row>
    <row r="30" customFormat="false" ht="15" hidden="false" customHeight="false" outlineLevel="0" collapsed="false">
      <c r="A30" s="11" t="s">
        <v>1163</v>
      </c>
      <c r="B30" s="11" t="s">
        <v>1177</v>
      </c>
      <c r="C30" s="11" t="s">
        <v>1129</v>
      </c>
      <c r="D30" s="11" t="n">
        <v>3</v>
      </c>
      <c r="E30" s="11" t="s">
        <v>1165</v>
      </c>
      <c r="F30" s="11" t="s">
        <v>1175</v>
      </c>
      <c r="G30" s="11"/>
    </row>
    <row r="31" customFormat="false" ht="15" hidden="false" customHeight="false" outlineLevel="0" collapsed="false">
      <c r="A31" s="11" t="s">
        <v>1163</v>
      </c>
      <c r="B31" s="11" t="s">
        <v>1178</v>
      </c>
      <c r="C31" s="11" t="s">
        <v>1129</v>
      </c>
      <c r="D31" s="11" t="n">
        <v>13</v>
      </c>
      <c r="E31" s="11" t="s">
        <v>1168</v>
      </c>
      <c r="F31" s="11" t="s">
        <v>1148</v>
      </c>
      <c r="G31" s="11"/>
    </row>
    <row r="32" customFormat="false" ht="15" hidden="false" customHeight="false" outlineLevel="0" collapsed="false">
      <c r="A32" s="11" t="s">
        <v>1163</v>
      </c>
      <c r="B32" s="11" t="s">
        <v>1179</v>
      </c>
      <c r="C32" s="11" t="s">
        <v>1129</v>
      </c>
      <c r="D32" s="11" t="n">
        <v>4</v>
      </c>
      <c r="E32" s="11" t="s">
        <v>1165</v>
      </c>
      <c r="F32" s="11" t="s">
        <v>1149</v>
      </c>
      <c r="G32" s="11"/>
    </row>
    <row r="33" customFormat="false" ht="15" hidden="false" customHeight="false" outlineLevel="0" collapsed="false">
      <c r="A33" s="11" t="s">
        <v>1163</v>
      </c>
      <c r="B33" s="11" t="s">
        <v>1180</v>
      </c>
      <c r="C33" s="11" t="s">
        <v>1129</v>
      </c>
      <c r="D33" s="11" t="n">
        <v>5</v>
      </c>
      <c r="E33" s="11" t="s">
        <v>1165</v>
      </c>
      <c r="F33" s="11" t="s">
        <v>1162</v>
      </c>
      <c r="G33" s="11"/>
    </row>
    <row r="34" customFormat="false" ht="15" hidden="false" customHeight="false" outlineLevel="0" collapsed="false">
      <c r="A34" s="11" t="s">
        <v>1163</v>
      </c>
      <c r="B34" s="11" t="s">
        <v>1181</v>
      </c>
      <c r="C34" s="11" t="s">
        <v>1129</v>
      </c>
      <c r="D34" s="11" t="n">
        <v>15</v>
      </c>
      <c r="E34" s="11" t="s">
        <v>1168</v>
      </c>
      <c r="F34" s="11" t="s">
        <v>1149</v>
      </c>
      <c r="G34" s="11"/>
    </row>
    <row r="35" customFormat="false" ht="15" hidden="false" customHeight="false" outlineLevel="0" collapsed="false">
      <c r="A35" s="11" t="s">
        <v>1163</v>
      </c>
      <c r="B35" s="11" t="s">
        <v>1182</v>
      </c>
      <c r="C35" s="11" t="s">
        <v>1129</v>
      </c>
      <c r="D35" s="11" t="n">
        <v>15</v>
      </c>
      <c r="E35" s="11" t="s">
        <v>1168</v>
      </c>
      <c r="F35" s="11" t="s">
        <v>1149</v>
      </c>
      <c r="G35" s="11"/>
    </row>
    <row r="36" customFormat="false" ht="15" hidden="false" customHeight="false" outlineLevel="0" collapsed="false">
      <c r="A36" s="11" t="s">
        <v>1163</v>
      </c>
      <c r="B36" s="11" t="s">
        <v>1183</v>
      </c>
      <c r="C36" s="11" t="s">
        <v>1129</v>
      </c>
      <c r="D36" s="11" t="n">
        <v>3</v>
      </c>
      <c r="E36" s="11" t="s">
        <v>1165</v>
      </c>
      <c r="F36" s="11" t="s">
        <v>1175</v>
      </c>
      <c r="G36" s="11"/>
    </row>
    <row r="37" customFormat="false" ht="15" hidden="false" customHeight="false" outlineLevel="0" collapsed="false">
      <c r="A37" s="11" t="s">
        <v>1163</v>
      </c>
      <c r="B37" s="11" t="s">
        <v>1184</v>
      </c>
      <c r="C37" s="11" t="s">
        <v>1129</v>
      </c>
      <c r="D37" s="11" t="n">
        <v>13</v>
      </c>
      <c r="E37" s="11" t="s">
        <v>1168</v>
      </c>
      <c r="F37" s="11" t="s">
        <v>1148</v>
      </c>
      <c r="G37" s="11"/>
    </row>
    <row r="38" customFormat="false" ht="15" hidden="false" customHeight="false" outlineLevel="0" collapsed="false">
      <c r="A38" s="11" t="s">
        <v>1163</v>
      </c>
      <c r="B38" s="11" t="s">
        <v>1185</v>
      </c>
      <c r="C38" s="11" t="s">
        <v>1129</v>
      </c>
      <c r="D38" s="11" t="n">
        <v>4</v>
      </c>
      <c r="E38" s="11" t="s">
        <v>1165</v>
      </c>
      <c r="F38" s="11" t="s">
        <v>1149</v>
      </c>
      <c r="G38" s="11"/>
    </row>
    <row r="39" customFormat="false" ht="15" hidden="false" customHeight="false" outlineLevel="0" collapsed="false">
      <c r="A39" s="11" t="s">
        <v>1163</v>
      </c>
      <c r="B39" s="11" t="s">
        <v>1186</v>
      </c>
      <c r="C39" s="11" t="s">
        <v>1129</v>
      </c>
      <c r="D39" s="11" t="n">
        <v>15</v>
      </c>
      <c r="E39" s="11" t="s">
        <v>1168</v>
      </c>
      <c r="F39" s="11" t="s">
        <v>1149</v>
      </c>
      <c r="G39" s="11"/>
    </row>
    <row r="40" customFormat="false" ht="15" hidden="false" customHeight="false" outlineLevel="0" collapsed="false">
      <c r="A40" s="11" t="s">
        <v>1163</v>
      </c>
      <c r="B40" s="11" t="s">
        <v>1187</v>
      </c>
      <c r="C40" s="11" t="s">
        <v>1129</v>
      </c>
      <c r="D40" s="11" t="n">
        <v>3</v>
      </c>
      <c r="E40" s="11" t="s">
        <v>1165</v>
      </c>
      <c r="F40" s="11" t="s">
        <v>1175</v>
      </c>
      <c r="G40" s="11"/>
    </row>
    <row r="41" customFormat="false" ht="15" hidden="false" customHeight="false" outlineLevel="0" collapsed="false">
      <c r="A41" s="11" t="s">
        <v>1163</v>
      </c>
      <c r="B41" s="11" t="s">
        <v>1188</v>
      </c>
      <c r="C41" s="11" t="s">
        <v>1129</v>
      </c>
      <c r="D41" s="11" t="n">
        <v>13</v>
      </c>
      <c r="E41" s="11" t="s">
        <v>1168</v>
      </c>
      <c r="F41" s="11" t="s">
        <v>1148</v>
      </c>
      <c r="G41" s="11"/>
    </row>
    <row r="42" customFormat="false" ht="15" hidden="false" customHeight="false" outlineLevel="0" collapsed="false">
      <c r="A42" s="11" t="s">
        <v>1163</v>
      </c>
      <c r="B42" s="11" t="s">
        <v>1189</v>
      </c>
      <c r="C42" s="11" t="s">
        <v>1129</v>
      </c>
      <c r="D42" s="11" t="n">
        <v>4</v>
      </c>
      <c r="E42" s="11" t="s">
        <v>1165</v>
      </c>
      <c r="F42" s="11" t="s">
        <v>1149</v>
      </c>
      <c r="G42" s="11"/>
    </row>
    <row r="43" customFormat="false" ht="15" hidden="false" customHeight="false" outlineLevel="0" collapsed="false">
      <c r="A43" s="11" t="s">
        <v>1163</v>
      </c>
      <c r="B43" s="11" t="s">
        <v>1190</v>
      </c>
      <c r="C43" s="11" t="s">
        <v>1129</v>
      </c>
      <c r="D43" s="11" t="n">
        <v>5</v>
      </c>
      <c r="E43" s="11" t="s">
        <v>1165</v>
      </c>
      <c r="F43" s="11" t="s">
        <v>1162</v>
      </c>
      <c r="G43" s="11"/>
    </row>
    <row r="44" customFormat="false" ht="15" hidden="false" customHeight="false" outlineLevel="0" collapsed="false">
      <c r="A44" s="11" t="s">
        <v>1163</v>
      </c>
      <c r="B44" s="11" t="s">
        <v>1191</v>
      </c>
      <c r="C44" s="11" t="s">
        <v>1129</v>
      </c>
      <c r="D44" s="11" t="n">
        <v>15</v>
      </c>
      <c r="E44" s="11" t="s">
        <v>1168</v>
      </c>
      <c r="F44" s="11" t="s">
        <v>1149</v>
      </c>
      <c r="G44" s="11"/>
    </row>
    <row r="45" customFormat="false" ht="15" hidden="false" customHeight="false" outlineLevel="0" collapsed="false">
      <c r="A45" s="11" t="s">
        <v>1163</v>
      </c>
      <c r="B45" s="11" t="s">
        <v>1192</v>
      </c>
      <c r="C45" s="11" t="s">
        <v>1129</v>
      </c>
      <c r="D45" s="11" t="n">
        <v>15</v>
      </c>
      <c r="E45" s="11" t="s">
        <v>1168</v>
      </c>
      <c r="F45" s="11" t="s">
        <v>1149</v>
      </c>
      <c r="G45" s="11"/>
    </row>
    <row r="46" customFormat="false" ht="15" hidden="false" customHeight="false" outlineLevel="0" collapsed="false">
      <c r="A46" s="11" t="s">
        <v>1163</v>
      </c>
      <c r="B46" s="11" t="s">
        <v>1193</v>
      </c>
      <c r="C46" s="11" t="s">
        <v>1129</v>
      </c>
      <c r="D46" s="11" t="n">
        <v>4</v>
      </c>
      <c r="E46" s="11" t="s">
        <v>1165</v>
      </c>
      <c r="F46" s="11" t="s">
        <v>1149</v>
      </c>
      <c r="G46" s="11"/>
    </row>
    <row r="47" customFormat="false" ht="15" hidden="false" customHeight="false" outlineLevel="0" collapsed="false">
      <c r="A47" s="11" t="s">
        <v>1163</v>
      </c>
      <c r="B47" s="11" t="s">
        <v>1194</v>
      </c>
      <c r="C47" s="11" t="s">
        <v>1129</v>
      </c>
      <c r="D47" s="11" t="n">
        <v>5</v>
      </c>
      <c r="E47" s="11" t="s">
        <v>1165</v>
      </c>
      <c r="F47" s="11" t="s">
        <v>1162</v>
      </c>
      <c r="G47" s="11"/>
    </row>
    <row r="48" customFormat="false" ht="15" hidden="false" customHeight="false" outlineLevel="0" collapsed="false">
      <c r="A48" s="11" t="s">
        <v>1163</v>
      </c>
      <c r="B48" s="11" t="s">
        <v>1195</v>
      </c>
      <c r="C48" s="11" t="s">
        <v>1129</v>
      </c>
      <c r="D48" s="11" t="n">
        <v>15</v>
      </c>
      <c r="E48" s="11" t="s">
        <v>1168</v>
      </c>
      <c r="F48" s="11" t="s">
        <v>1149</v>
      </c>
      <c r="G48" s="11"/>
    </row>
    <row r="49" customFormat="false" ht="15" hidden="false" customHeight="false" outlineLevel="0" collapsed="false">
      <c r="A49" s="11" t="s">
        <v>1163</v>
      </c>
      <c r="B49" s="11" t="s">
        <v>1196</v>
      </c>
      <c r="C49" s="11" t="s">
        <v>1129</v>
      </c>
      <c r="D49" s="11" t="n">
        <v>15</v>
      </c>
      <c r="E49" s="11" t="s">
        <v>1168</v>
      </c>
      <c r="F49" s="11" t="s">
        <v>1149</v>
      </c>
      <c r="G49" s="11"/>
    </row>
    <row r="50" customFormat="false" ht="15" hidden="false" customHeight="false" outlineLevel="0" collapsed="false">
      <c r="A50" s="11" t="s">
        <v>1163</v>
      </c>
      <c r="B50" s="11" t="s">
        <v>1197</v>
      </c>
      <c r="C50" s="11" t="s">
        <v>1129</v>
      </c>
      <c r="D50" s="11" t="n">
        <v>4</v>
      </c>
      <c r="E50" s="11" t="s">
        <v>1165</v>
      </c>
      <c r="F50" s="11" t="s">
        <v>1149</v>
      </c>
      <c r="G50" s="11"/>
    </row>
    <row r="51" customFormat="false" ht="15" hidden="false" customHeight="false" outlineLevel="0" collapsed="false">
      <c r="A51" s="11" t="s">
        <v>1163</v>
      </c>
      <c r="B51" s="11" t="s">
        <v>1198</v>
      </c>
      <c r="C51" s="11" t="s">
        <v>1129</v>
      </c>
      <c r="D51" s="11" t="n">
        <v>5</v>
      </c>
      <c r="E51" s="11" t="s">
        <v>1165</v>
      </c>
      <c r="F51" s="11" t="s">
        <v>1162</v>
      </c>
      <c r="G51" s="11"/>
    </row>
    <row r="52" customFormat="false" ht="15" hidden="false" customHeight="false" outlineLevel="0" collapsed="false">
      <c r="A52" s="11" t="s">
        <v>1163</v>
      </c>
      <c r="B52" s="11" t="s">
        <v>1199</v>
      </c>
      <c r="C52" s="11" t="s">
        <v>1129</v>
      </c>
      <c r="D52" s="11" t="n">
        <v>15</v>
      </c>
      <c r="E52" s="11" t="s">
        <v>1168</v>
      </c>
      <c r="F52" s="11" t="s">
        <v>1149</v>
      </c>
      <c r="G52" s="11"/>
    </row>
    <row r="53" customFormat="false" ht="15" hidden="false" customHeight="false" outlineLevel="0" collapsed="false">
      <c r="A53" s="11" t="s">
        <v>1163</v>
      </c>
      <c r="B53" s="11" t="s">
        <v>1200</v>
      </c>
      <c r="C53" s="11" t="s">
        <v>1129</v>
      </c>
      <c r="D53" s="11" t="n">
        <v>15</v>
      </c>
      <c r="E53" s="11" t="s">
        <v>1168</v>
      </c>
      <c r="F53" s="11" t="s">
        <v>1149</v>
      </c>
      <c r="G53" s="11"/>
    </row>
    <row r="54" customFormat="false" ht="15" hidden="false" customHeight="false" outlineLevel="0" collapsed="false">
      <c r="A54" s="11" t="s">
        <v>1163</v>
      </c>
      <c r="B54" s="11" t="s">
        <v>1201</v>
      </c>
      <c r="C54" s="11" t="s">
        <v>1129</v>
      </c>
      <c r="D54" s="11" t="n">
        <v>4</v>
      </c>
      <c r="E54" s="11" t="s">
        <v>1165</v>
      </c>
      <c r="F54" s="11" t="s">
        <v>1149</v>
      </c>
      <c r="G54" s="11"/>
    </row>
    <row r="55" customFormat="false" ht="15" hidden="false" customHeight="false" outlineLevel="0" collapsed="false">
      <c r="A55" s="11" t="s">
        <v>1163</v>
      </c>
      <c r="B55" s="11" t="s">
        <v>1202</v>
      </c>
      <c r="C55" s="11" t="s">
        <v>1129</v>
      </c>
      <c r="D55" s="11" t="n">
        <v>5</v>
      </c>
      <c r="E55" s="11" t="s">
        <v>1165</v>
      </c>
      <c r="F55" s="11" t="s">
        <v>1162</v>
      </c>
      <c r="G55" s="11"/>
    </row>
    <row r="56" customFormat="false" ht="15" hidden="false" customHeight="false" outlineLevel="0" collapsed="false">
      <c r="A56" s="11" t="s">
        <v>1163</v>
      </c>
      <c r="B56" s="11" t="s">
        <v>1203</v>
      </c>
      <c r="C56" s="11" t="s">
        <v>1129</v>
      </c>
      <c r="D56" s="11" t="n">
        <v>15</v>
      </c>
      <c r="E56" s="11" t="s">
        <v>1168</v>
      </c>
      <c r="F56" s="11" t="s">
        <v>1149</v>
      </c>
      <c r="G56" s="11"/>
    </row>
    <row r="57" customFormat="false" ht="15" hidden="false" customHeight="false" outlineLevel="0" collapsed="false">
      <c r="A57" s="11" t="s">
        <v>1163</v>
      </c>
      <c r="B57" s="11" t="s">
        <v>1204</v>
      </c>
      <c r="C57" s="11" t="s">
        <v>1129</v>
      </c>
      <c r="D57" s="11" t="n">
        <v>15</v>
      </c>
      <c r="E57" s="11" t="s">
        <v>1168</v>
      </c>
      <c r="F57" s="11" t="s">
        <v>1149</v>
      </c>
      <c r="G57" s="11"/>
    </row>
    <row r="58" customFormat="false" ht="15" hidden="false" customHeight="false" outlineLevel="0" collapsed="false">
      <c r="A58" s="11" t="s">
        <v>1163</v>
      </c>
      <c r="B58" s="11" t="s">
        <v>1205</v>
      </c>
      <c r="C58" s="11" t="s">
        <v>1129</v>
      </c>
      <c r="D58" s="11" t="n">
        <v>4</v>
      </c>
      <c r="E58" s="11" t="s">
        <v>1165</v>
      </c>
      <c r="F58" s="11" t="s">
        <v>1149</v>
      </c>
      <c r="G58" s="11"/>
    </row>
    <row r="59" customFormat="false" ht="15" hidden="false" customHeight="false" outlineLevel="0" collapsed="false">
      <c r="A59" s="11" t="s">
        <v>1163</v>
      </c>
      <c r="B59" s="11" t="s">
        <v>1206</v>
      </c>
      <c r="C59" s="11" t="s">
        <v>1129</v>
      </c>
      <c r="D59" s="11" t="n">
        <v>5</v>
      </c>
      <c r="E59" s="11" t="s">
        <v>1165</v>
      </c>
      <c r="F59" s="11" t="s">
        <v>1162</v>
      </c>
      <c r="G59" s="11"/>
    </row>
    <row r="60" customFormat="false" ht="15" hidden="false" customHeight="false" outlineLevel="0" collapsed="false">
      <c r="A60" s="11" t="s">
        <v>1163</v>
      </c>
      <c r="B60" s="11" t="s">
        <v>1207</v>
      </c>
      <c r="C60" s="11" t="s">
        <v>1129</v>
      </c>
      <c r="D60" s="11" t="n">
        <v>15</v>
      </c>
      <c r="E60" s="11" t="s">
        <v>1168</v>
      </c>
      <c r="F60" s="11" t="s">
        <v>1149</v>
      </c>
      <c r="G60" s="11"/>
    </row>
    <row r="61" customFormat="false" ht="15" hidden="false" customHeight="false" outlineLevel="0" collapsed="false">
      <c r="A61" s="11" t="s">
        <v>1163</v>
      </c>
      <c r="B61" s="11" t="s">
        <v>1208</v>
      </c>
      <c r="C61" s="11" t="s">
        <v>1129</v>
      </c>
      <c r="D61" s="11" t="n">
        <v>15</v>
      </c>
      <c r="E61" s="11" t="s">
        <v>1168</v>
      </c>
      <c r="F61" s="11" t="s">
        <v>1149</v>
      </c>
      <c r="G61" s="11"/>
    </row>
    <row r="62" customFormat="false" ht="15" hidden="false" customHeight="false" outlineLevel="0" collapsed="false">
      <c r="A62" s="11" t="s">
        <v>1163</v>
      </c>
      <c r="B62" s="11" t="s">
        <v>1209</v>
      </c>
      <c r="C62" s="11" t="s">
        <v>1129</v>
      </c>
      <c r="D62" s="11" t="n">
        <v>4</v>
      </c>
      <c r="E62" s="11" t="s">
        <v>1165</v>
      </c>
      <c r="F62" s="11" t="s">
        <v>1149</v>
      </c>
      <c r="G62" s="11"/>
    </row>
    <row r="63" customFormat="false" ht="15" hidden="false" customHeight="false" outlineLevel="0" collapsed="false">
      <c r="A63" s="11" t="s">
        <v>1163</v>
      </c>
      <c r="B63" s="11" t="s">
        <v>1210</v>
      </c>
      <c r="C63" s="11" t="s">
        <v>1129</v>
      </c>
      <c r="D63" s="11" t="n">
        <v>5</v>
      </c>
      <c r="E63" s="11" t="s">
        <v>1165</v>
      </c>
      <c r="F63" s="11" t="s">
        <v>1162</v>
      </c>
      <c r="G63" s="11"/>
    </row>
    <row r="64" customFormat="false" ht="15" hidden="false" customHeight="false" outlineLevel="0" collapsed="false">
      <c r="A64" s="11" t="s">
        <v>1163</v>
      </c>
      <c r="B64" s="11" t="s">
        <v>1211</v>
      </c>
      <c r="C64" s="11" t="s">
        <v>1129</v>
      </c>
      <c r="D64" s="11" t="n">
        <v>15</v>
      </c>
      <c r="E64" s="11" t="s">
        <v>1168</v>
      </c>
      <c r="F64" s="11" t="s">
        <v>1149</v>
      </c>
      <c r="G64" s="11"/>
    </row>
    <row r="65" customFormat="false" ht="15" hidden="false" customHeight="false" outlineLevel="0" collapsed="false">
      <c r="A65" s="11" t="s">
        <v>1163</v>
      </c>
      <c r="B65" s="11" t="s">
        <v>1212</v>
      </c>
      <c r="C65" s="11" t="s">
        <v>1129</v>
      </c>
      <c r="D65" s="11" t="n">
        <v>15</v>
      </c>
      <c r="E65" s="11" t="s">
        <v>1168</v>
      </c>
      <c r="F65" s="11" t="s">
        <v>1149</v>
      </c>
      <c r="G65" s="11"/>
    </row>
    <row r="66" customFormat="false" ht="15" hidden="false" customHeight="false" outlineLevel="0" collapsed="false">
      <c r="A66" s="11" t="s">
        <v>1163</v>
      </c>
      <c r="B66" s="11" t="s">
        <v>1213</v>
      </c>
      <c r="C66" s="11" t="s">
        <v>1129</v>
      </c>
      <c r="D66" s="11" t="n">
        <v>4</v>
      </c>
      <c r="E66" s="11" t="s">
        <v>1165</v>
      </c>
      <c r="F66" s="11" t="s">
        <v>1149</v>
      </c>
      <c r="G66" s="11"/>
    </row>
    <row r="67" customFormat="false" ht="15" hidden="false" customHeight="false" outlineLevel="0" collapsed="false">
      <c r="A67" s="11" t="s">
        <v>1163</v>
      </c>
      <c r="B67" s="11" t="s">
        <v>1214</v>
      </c>
      <c r="C67" s="11" t="s">
        <v>1129</v>
      </c>
      <c r="D67" s="11" t="n">
        <v>5</v>
      </c>
      <c r="E67" s="11" t="s">
        <v>1165</v>
      </c>
      <c r="F67" s="11" t="s">
        <v>1162</v>
      </c>
      <c r="G67" s="11"/>
    </row>
    <row r="68" customFormat="false" ht="15" hidden="false" customHeight="false" outlineLevel="0" collapsed="false">
      <c r="A68" s="11" t="s">
        <v>1163</v>
      </c>
      <c r="B68" s="11" t="s">
        <v>1215</v>
      </c>
      <c r="C68" s="11" t="s">
        <v>1129</v>
      </c>
      <c r="D68" s="11" t="n">
        <v>15</v>
      </c>
      <c r="E68" s="11" t="s">
        <v>1168</v>
      </c>
      <c r="F68" s="11" t="s">
        <v>1149</v>
      </c>
      <c r="G68" s="11"/>
    </row>
    <row r="69" customFormat="false" ht="15" hidden="false" customHeight="false" outlineLevel="0" collapsed="false">
      <c r="A69" s="11" t="s">
        <v>1163</v>
      </c>
      <c r="B69" s="11" t="s">
        <v>1216</v>
      </c>
      <c r="C69" s="11" t="s">
        <v>1129</v>
      </c>
      <c r="D69" s="11" t="n">
        <v>15</v>
      </c>
      <c r="E69" s="11" t="s">
        <v>1168</v>
      </c>
      <c r="F69" s="11" t="s">
        <v>1149</v>
      </c>
      <c r="G69" s="11"/>
    </row>
    <row r="70" customFormat="false" ht="15" hidden="false" customHeight="false" outlineLevel="0" collapsed="false">
      <c r="A70" s="11" t="s">
        <v>1163</v>
      </c>
      <c r="B70" s="11" t="s">
        <v>1217</v>
      </c>
      <c r="C70" s="11" t="s">
        <v>1129</v>
      </c>
      <c r="D70" s="11" t="n">
        <v>3</v>
      </c>
      <c r="E70" s="11" t="s">
        <v>1165</v>
      </c>
      <c r="F70" s="11" t="s">
        <v>1175</v>
      </c>
      <c r="G70" s="11"/>
    </row>
    <row r="71" customFormat="false" ht="15" hidden="false" customHeight="false" outlineLevel="0" collapsed="false">
      <c r="A71" s="11" t="s">
        <v>1163</v>
      </c>
      <c r="B71" s="11" t="s">
        <v>1218</v>
      </c>
      <c r="C71" s="11" t="s">
        <v>1129</v>
      </c>
      <c r="D71" s="11" t="n">
        <v>13</v>
      </c>
      <c r="E71" s="11" t="s">
        <v>1168</v>
      </c>
      <c r="F71" s="11" t="s">
        <v>1148</v>
      </c>
      <c r="G71" s="11"/>
    </row>
    <row r="72" customFormat="false" ht="15" hidden="false" customHeight="false" outlineLevel="0" collapsed="false">
      <c r="A72" s="11" t="s">
        <v>1163</v>
      </c>
      <c r="B72" s="11" t="s">
        <v>1219</v>
      </c>
      <c r="C72" s="11" t="s">
        <v>1129</v>
      </c>
      <c r="D72" s="11" t="n">
        <v>4</v>
      </c>
      <c r="E72" s="11" t="s">
        <v>1165</v>
      </c>
      <c r="F72" s="11" t="s">
        <v>1149</v>
      </c>
      <c r="G72" s="11"/>
    </row>
    <row r="73" customFormat="false" ht="15" hidden="false" customHeight="false" outlineLevel="0" collapsed="false">
      <c r="A73" s="11" t="s">
        <v>1163</v>
      </c>
      <c r="B73" s="11" t="s">
        <v>1220</v>
      </c>
      <c r="C73" s="11" t="s">
        <v>1129</v>
      </c>
      <c r="D73" s="11" t="n">
        <v>15</v>
      </c>
      <c r="E73" s="11" t="s">
        <v>1168</v>
      </c>
      <c r="F73" s="11" t="s">
        <v>1149</v>
      </c>
      <c r="G73" s="11"/>
    </row>
    <row r="74" customFormat="false" ht="15" hidden="false" customHeight="false" outlineLevel="0" collapsed="false">
      <c r="A74" s="11" t="s">
        <v>1163</v>
      </c>
      <c r="B74" s="11" t="s">
        <v>1221</v>
      </c>
      <c r="C74" s="11" t="s">
        <v>1129</v>
      </c>
      <c r="D74" s="11" t="n">
        <v>3</v>
      </c>
      <c r="E74" s="11" t="s">
        <v>1165</v>
      </c>
      <c r="F74" s="11" t="s">
        <v>1175</v>
      </c>
      <c r="G74" s="11"/>
    </row>
    <row r="75" customFormat="false" ht="15" hidden="false" customHeight="false" outlineLevel="0" collapsed="false">
      <c r="A75" s="11" t="s">
        <v>1163</v>
      </c>
      <c r="B75" s="11" t="s">
        <v>1222</v>
      </c>
      <c r="C75" s="11" t="s">
        <v>1129</v>
      </c>
      <c r="D75" s="11" t="n">
        <v>13</v>
      </c>
      <c r="E75" s="11" t="s">
        <v>1168</v>
      </c>
      <c r="F75" s="11" t="s">
        <v>1148</v>
      </c>
      <c r="G75" s="11"/>
    </row>
    <row r="76" customFormat="false" ht="15" hidden="false" customHeight="false" outlineLevel="0" collapsed="false">
      <c r="A76" s="11" t="s">
        <v>1163</v>
      </c>
      <c r="B76" s="11" t="s">
        <v>1223</v>
      </c>
      <c r="C76" s="11" t="s">
        <v>1129</v>
      </c>
      <c r="D76" s="11" t="n">
        <v>4</v>
      </c>
      <c r="E76" s="11" t="s">
        <v>1165</v>
      </c>
      <c r="F76" s="11" t="s">
        <v>1149</v>
      </c>
      <c r="G76" s="11"/>
    </row>
    <row r="77" customFormat="false" ht="15" hidden="false" customHeight="false" outlineLevel="0" collapsed="false">
      <c r="A77" s="11" t="s">
        <v>1163</v>
      </c>
      <c r="B77" s="11" t="s">
        <v>1224</v>
      </c>
      <c r="C77" s="11" t="s">
        <v>1129</v>
      </c>
      <c r="D77" s="11" t="n">
        <v>16</v>
      </c>
      <c r="E77" s="11" t="s">
        <v>1225</v>
      </c>
      <c r="F77" s="11" t="s">
        <v>1149</v>
      </c>
      <c r="G77" s="11"/>
    </row>
    <row r="78" customFormat="false" ht="15" hidden="false" customHeight="false" outlineLevel="0" collapsed="false">
      <c r="A78" s="11" t="s">
        <v>1163</v>
      </c>
      <c r="B78" s="11" t="s">
        <v>1226</v>
      </c>
      <c r="C78" s="11" t="s">
        <v>1129</v>
      </c>
      <c r="D78" s="11" t="n">
        <v>3</v>
      </c>
      <c r="E78" s="11" t="s">
        <v>1165</v>
      </c>
      <c r="F78" s="11" t="s">
        <v>1175</v>
      </c>
      <c r="G78" s="11"/>
    </row>
    <row r="79" customFormat="false" ht="15" hidden="false" customHeight="false" outlineLevel="0" collapsed="false">
      <c r="A79" s="11" t="s">
        <v>1163</v>
      </c>
      <c r="B79" s="11" t="s">
        <v>1227</v>
      </c>
      <c r="C79" s="11" t="s">
        <v>1129</v>
      </c>
      <c r="D79" s="11" t="n">
        <v>13</v>
      </c>
      <c r="E79" s="11" t="s">
        <v>1168</v>
      </c>
      <c r="F79" s="11" t="s">
        <v>1148</v>
      </c>
      <c r="G79" s="11"/>
    </row>
    <row r="80" customFormat="false" ht="15" hidden="false" customHeight="false" outlineLevel="0" collapsed="false">
      <c r="A80" s="11" t="s">
        <v>1163</v>
      </c>
      <c r="B80" s="11" t="s">
        <v>1228</v>
      </c>
      <c r="C80" s="11" t="s">
        <v>1129</v>
      </c>
      <c r="D80" s="11" t="n">
        <v>3</v>
      </c>
      <c r="E80" s="11" t="s">
        <v>1148</v>
      </c>
      <c r="F80" s="11" t="s">
        <v>1149</v>
      </c>
      <c r="G80" s="11"/>
    </row>
    <row r="81" customFormat="false" ht="15" hidden="false" customHeight="false" outlineLevel="0" collapsed="false">
      <c r="A81" s="11" t="s">
        <v>1163</v>
      </c>
      <c r="B81" s="11" t="s">
        <v>1229</v>
      </c>
      <c r="C81" s="11" t="s">
        <v>1129</v>
      </c>
      <c r="D81" s="11" t="n">
        <v>4</v>
      </c>
      <c r="E81" s="11" t="s">
        <v>1148</v>
      </c>
      <c r="F81" s="11" t="s">
        <v>1162</v>
      </c>
      <c r="G81" s="11"/>
    </row>
    <row r="82" customFormat="false" ht="15" hidden="false" customHeight="false" outlineLevel="0" collapsed="false">
      <c r="A82" s="11" t="s">
        <v>1163</v>
      </c>
      <c r="B82" s="11" t="s">
        <v>1230</v>
      </c>
      <c r="C82" s="11" t="s">
        <v>1129</v>
      </c>
      <c r="D82" s="11" t="n">
        <v>14</v>
      </c>
      <c r="E82" s="11" t="s">
        <v>1152</v>
      </c>
      <c r="F82" s="11" t="s">
        <v>1149</v>
      </c>
      <c r="G82" s="11"/>
    </row>
    <row r="83" customFormat="false" ht="15" hidden="false" customHeight="false" outlineLevel="0" collapsed="false">
      <c r="A83" s="11" t="s">
        <v>1163</v>
      </c>
      <c r="B83" s="11" t="s">
        <v>1231</v>
      </c>
      <c r="C83" s="11" t="s">
        <v>1129</v>
      </c>
      <c r="D83" s="11" t="n">
        <v>15</v>
      </c>
      <c r="E83" s="11" t="s">
        <v>1168</v>
      </c>
      <c r="F83" s="11" t="s">
        <v>1149</v>
      </c>
      <c r="G83" s="11"/>
    </row>
    <row r="84" customFormat="false" ht="15" hidden="false" customHeight="false" outlineLevel="0" collapsed="false">
      <c r="A84" s="11" t="s">
        <v>1163</v>
      </c>
      <c r="B84" s="11" t="s">
        <v>1232</v>
      </c>
      <c r="C84" s="11" t="s">
        <v>1129</v>
      </c>
      <c r="D84" s="11" t="n">
        <v>3</v>
      </c>
      <c r="E84" s="11" t="s">
        <v>1148</v>
      </c>
      <c r="F84" s="11" t="s">
        <v>1149</v>
      </c>
      <c r="G84" s="11"/>
    </row>
    <row r="85" customFormat="false" ht="15" hidden="false" customHeight="false" outlineLevel="0" collapsed="false">
      <c r="A85" s="11" t="s">
        <v>1163</v>
      </c>
      <c r="B85" s="11" t="s">
        <v>1233</v>
      </c>
      <c r="C85" s="11" t="s">
        <v>1129</v>
      </c>
      <c r="D85" s="11" t="n">
        <v>4</v>
      </c>
      <c r="E85" s="11" t="s">
        <v>1148</v>
      </c>
      <c r="F85" s="11" t="s">
        <v>1162</v>
      </c>
      <c r="G85" s="11"/>
    </row>
    <row r="86" customFormat="false" ht="15" hidden="false" customHeight="false" outlineLevel="0" collapsed="false">
      <c r="A86" s="11" t="s">
        <v>1163</v>
      </c>
      <c r="B86" s="11" t="s">
        <v>1234</v>
      </c>
      <c r="C86" s="11" t="s">
        <v>1129</v>
      </c>
      <c r="D86" s="11" t="n">
        <v>14</v>
      </c>
      <c r="E86" s="11" t="s">
        <v>1152</v>
      </c>
      <c r="F86" s="11" t="s">
        <v>1149</v>
      </c>
      <c r="G86" s="11"/>
    </row>
    <row r="87" customFormat="false" ht="15" hidden="false" customHeight="false" outlineLevel="0" collapsed="false">
      <c r="A87" s="11" t="s">
        <v>1163</v>
      </c>
      <c r="B87" s="11" t="s">
        <v>1235</v>
      </c>
      <c r="C87" s="11" t="s">
        <v>1129</v>
      </c>
      <c r="D87" s="11" t="n">
        <v>15</v>
      </c>
      <c r="E87" s="11" t="s">
        <v>1168</v>
      </c>
      <c r="F87" s="11" t="s">
        <v>1149</v>
      </c>
      <c r="G87" s="11"/>
    </row>
    <row r="88" customFormat="false" ht="15" hidden="false" customHeight="false" outlineLevel="0" collapsed="false">
      <c r="A88" s="11" t="s">
        <v>1236</v>
      </c>
      <c r="B88" s="11" t="s">
        <v>1237</v>
      </c>
      <c r="C88" s="11" t="s">
        <v>1129</v>
      </c>
      <c r="D88" s="11" t="n">
        <v>28</v>
      </c>
      <c r="E88" s="11" t="s">
        <v>1238</v>
      </c>
      <c r="F88" s="11" t="s">
        <v>1142</v>
      </c>
      <c r="G88" s="11"/>
    </row>
    <row r="89" customFormat="false" ht="15" hidden="false" customHeight="false" outlineLevel="0" collapsed="false">
      <c r="A89" s="11" t="s">
        <v>1236</v>
      </c>
      <c r="B89" s="11" t="s">
        <v>1239</v>
      </c>
      <c r="C89" s="11" t="s">
        <v>1129</v>
      </c>
      <c r="D89" s="11" t="n">
        <v>28</v>
      </c>
      <c r="E89" s="11" t="s">
        <v>1238</v>
      </c>
      <c r="F89" s="11" t="s">
        <v>1142</v>
      </c>
      <c r="G89" s="11"/>
    </row>
    <row r="90" customFormat="false" ht="15" hidden="false" customHeight="false" outlineLevel="0" collapsed="false">
      <c r="A90" s="11" t="s">
        <v>1240</v>
      </c>
      <c r="B90" s="11" t="s">
        <v>1241</v>
      </c>
      <c r="C90" s="11" t="s">
        <v>1129</v>
      </c>
      <c r="D90" s="11" t="n">
        <v>7</v>
      </c>
      <c r="E90" s="11" t="s">
        <v>1242</v>
      </c>
      <c r="F90" s="11" t="s">
        <v>1142</v>
      </c>
      <c r="G90" s="11"/>
    </row>
    <row r="91" customFormat="false" ht="15" hidden="false" customHeight="false" outlineLevel="0" collapsed="false">
      <c r="A91" s="11" t="s">
        <v>1240</v>
      </c>
      <c r="B91" s="11" t="s">
        <v>1243</v>
      </c>
      <c r="C91" s="11" t="s">
        <v>1129</v>
      </c>
      <c r="D91" s="11" t="n">
        <v>7</v>
      </c>
      <c r="E91" s="11" t="s">
        <v>1242</v>
      </c>
      <c r="F91" s="11" t="s">
        <v>1142</v>
      </c>
      <c r="G91" s="11"/>
    </row>
    <row r="92" customFormat="false" ht="15" hidden="false" customHeight="false" outlineLevel="0" collapsed="false">
      <c r="A92" s="11" t="s">
        <v>1240</v>
      </c>
      <c r="B92" s="11" t="s">
        <v>1244</v>
      </c>
      <c r="C92" s="11" t="s">
        <v>1129</v>
      </c>
      <c r="D92" s="11" t="n">
        <v>7</v>
      </c>
      <c r="E92" s="11" t="s">
        <v>1242</v>
      </c>
      <c r="F92" s="11" t="s">
        <v>1142</v>
      </c>
      <c r="G92" s="11"/>
    </row>
    <row r="93" customFormat="false" ht="15" hidden="false" customHeight="false" outlineLevel="0" collapsed="false">
      <c r="A93" s="11" t="s">
        <v>1240</v>
      </c>
      <c r="B93" s="11" t="s">
        <v>1245</v>
      </c>
      <c r="C93" s="11" t="s">
        <v>1129</v>
      </c>
      <c r="D93" s="11" t="n">
        <v>7</v>
      </c>
      <c r="E93" s="11" t="s">
        <v>1242</v>
      </c>
      <c r="F93" s="11" t="s">
        <v>1142</v>
      </c>
      <c r="G93" s="11"/>
    </row>
    <row r="94" customFormat="false" ht="15" hidden="false" customHeight="false" outlineLevel="0" collapsed="false">
      <c r="A94" s="11" t="s">
        <v>1240</v>
      </c>
      <c r="B94" s="11" t="s">
        <v>1246</v>
      </c>
      <c r="C94" s="11" t="s">
        <v>1129</v>
      </c>
      <c r="D94" s="11" t="n">
        <v>7</v>
      </c>
      <c r="E94" s="11" t="s">
        <v>1242</v>
      </c>
      <c r="F94" s="11" t="s">
        <v>1142</v>
      </c>
      <c r="G94" s="11"/>
    </row>
    <row r="95" customFormat="false" ht="23.85" hidden="false" customHeight="false" outlineLevel="0" collapsed="false">
      <c r="A95" s="11" t="s">
        <v>1247</v>
      </c>
      <c r="B95" s="11" t="s">
        <v>1248</v>
      </c>
      <c r="C95" s="11" t="s">
        <v>1129</v>
      </c>
      <c r="D95" s="11" t="n">
        <v>11</v>
      </c>
      <c r="E95" s="11" t="s">
        <v>1249</v>
      </c>
      <c r="F95" s="11" t="s">
        <v>1135</v>
      </c>
      <c r="G95" s="11" t="s">
        <v>1250</v>
      </c>
    </row>
    <row r="96" customFormat="false" ht="23.85" hidden="false" customHeight="false" outlineLevel="0" collapsed="false">
      <c r="A96" s="11" t="s">
        <v>1247</v>
      </c>
      <c r="B96" s="11" t="s">
        <v>1251</v>
      </c>
      <c r="C96" s="11" t="s">
        <v>1129</v>
      </c>
      <c r="D96" s="11" t="n">
        <v>11</v>
      </c>
      <c r="E96" s="11" t="s">
        <v>1249</v>
      </c>
      <c r="F96" s="11" t="s">
        <v>1135</v>
      </c>
      <c r="G96" s="11" t="s">
        <v>1250</v>
      </c>
    </row>
    <row r="97" customFormat="false" ht="23.85" hidden="false" customHeight="false" outlineLevel="0" collapsed="false">
      <c r="A97" s="11" t="s">
        <v>1247</v>
      </c>
      <c r="B97" s="11" t="s">
        <v>1252</v>
      </c>
      <c r="C97" s="11" t="s">
        <v>1129</v>
      </c>
      <c r="D97" s="11" t="n">
        <v>11</v>
      </c>
      <c r="E97" s="11" t="s">
        <v>1249</v>
      </c>
      <c r="F97" s="11" t="s">
        <v>1135</v>
      </c>
      <c r="G97" s="11" t="s">
        <v>1250</v>
      </c>
    </row>
    <row r="98" customFormat="false" ht="23.85" hidden="false" customHeight="false" outlineLevel="0" collapsed="false">
      <c r="A98" s="11" t="s">
        <v>1247</v>
      </c>
      <c r="B98" s="11" t="s">
        <v>1253</v>
      </c>
      <c r="C98" s="11" t="s">
        <v>1129</v>
      </c>
      <c r="D98" s="11" t="n">
        <v>11</v>
      </c>
      <c r="E98" s="11" t="s">
        <v>1249</v>
      </c>
      <c r="F98" s="11" t="s">
        <v>1135</v>
      </c>
      <c r="G98" s="11" t="s">
        <v>1250</v>
      </c>
    </row>
    <row r="99" customFormat="false" ht="23.85" hidden="false" customHeight="false" outlineLevel="0" collapsed="false">
      <c r="A99" s="11" t="s">
        <v>1247</v>
      </c>
      <c r="B99" s="11" t="s">
        <v>1254</v>
      </c>
      <c r="C99" s="11" t="s">
        <v>1129</v>
      </c>
      <c r="D99" s="11" t="n">
        <v>11</v>
      </c>
      <c r="E99" s="11" t="s">
        <v>1249</v>
      </c>
      <c r="F99" s="11" t="s">
        <v>1135</v>
      </c>
      <c r="G99" s="11" t="s">
        <v>1250</v>
      </c>
    </row>
    <row r="100" customFormat="false" ht="23.85" hidden="false" customHeight="false" outlineLevel="0" collapsed="false">
      <c r="A100" s="11" t="s">
        <v>1247</v>
      </c>
      <c r="B100" s="11" t="s">
        <v>1255</v>
      </c>
      <c r="C100" s="11" t="s">
        <v>1129</v>
      </c>
      <c r="D100" s="11" t="n">
        <v>11</v>
      </c>
      <c r="E100" s="11" t="s">
        <v>1249</v>
      </c>
      <c r="F100" s="11" t="s">
        <v>1135</v>
      </c>
      <c r="G100" s="11" t="s">
        <v>1250</v>
      </c>
    </row>
    <row r="101" customFormat="false" ht="23.85" hidden="false" customHeight="false" outlineLevel="0" collapsed="false">
      <c r="A101" s="11" t="s">
        <v>1247</v>
      </c>
      <c r="B101" s="11" t="s">
        <v>1256</v>
      </c>
      <c r="C101" s="11" t="s">
        <v>1129</v>
      </c>
      <c r="D101" s="11" t="n">
        <v>11</v>
      </c>
      <c r="E101" s="11" t="s">
        <v>1249</v>
      </c>
      <c r="F101" s="11" t="s">
        <v>1135</v>
      </c>
      <c r="G101" s="11" t="s">
        <v>1250</v>
      </c>
    </row>
    <row r="102" customFormat="false" ht="23.85" hidden="false" customHeight="false" outlineLevel="0" collapsed="false">
      <c r="A102" s="11" t="s">
        <v>1247</v>
      </c>
      <c r="B102" s="11" t="s">
        <v>1257</v>
      </c>
      <c r="C102" s="11" t="s">
        <v>1129</v>
      </c>
      <c r="D102" s="11" t="n">
        <v>11</v>
      </c>
      <c r="E102" s="11" t="s">
        <v>1249</v>
      </c>
      <c r="F102" s="11" t="s">
        <v>1135</v>
      </c>
      <c r="G102" s="11" t="s">
        <v>1250</v>
      </c>
    </row>
    <row r="103" customFormat="false" ht="23.85" hidden="false" customHeight="false" outlineLevel="0" collapsed="false">
      <c r="A103" s="11" t="s">
        <v>1247</v>
      </c>
      <c r="B103" s="11" t="s">
        <v>1258</v>
      </c>
      <c r="C103" s="11" t="s">
        <v>1129</v>
      </c>
      <c r="D103" s="11" t="n">
        <v>7</v>
      </c>
      <c r="E103" s="11" t="s">
        <v>1249</v>
      </c>
      <c r="F103" s="11" t="s">
        <v>1148</v>
      </c>
      <c r="G103" s="11" t="s">
        <v>1250</v>
      </c>
    </row>
    <row r="104" customFormat="false" ht="23.85" hidden="false" customHeight="false" outlineLevel="0" collapsed="false">
      <c r="A104" s="11" t="s">
        <v>1247</v>
      </c>
      <c r="B104" s="11" t="s">
        <v>1259</v>
      </c>
      <c r="C104" s="11" t="s">
        <v>1129</v>
      </c>
      <c r="D104" s="11" t="n">
        <v>7</v>
      </c>
      <c r="E104" s="11" t="s">
        <v>1249</v>
      </c>
      <c r="F104" s="11" t="s">
        <v>1148</v>
      </c>
      <c r="G104" s="11" t="s">
        <v>1250</v>
      </c>
    </row>
    <row r="105" customFormat="false" ht="23.85" hidden="false" customHeight="false" outlineLevel="0" collapsed="false">
      <c r="A105" s="11" t="s">
        <v>1247</v>
      </c>
      <c r="B105" s="11" t="s">
        <v>1260</v>
      </c>
      <c r="C105" s="11" t="s">
        <v>1129</v>
      </c>
      <c r="D105" s="11" t="n">
        <v>11</v>
      </c>
      <c r="E105" s="11" t="s">
        <v>1249</v>
      </c>
      <c r="F105" s="11" t="s">
        <v>1135</v>
      </c>
      <c r="G105" s="11" t="s">
        <v>1250</v>
      </c>
    </row>
    <row r="106" customFormat="false" ht="23.85" hidden="false" customHeight="false" outlineLevel="0" collapsed="false">
      <c r="A106" s="11" t="s">
        <v>1247</v>
      </c>
      <c r="B106" s="11" t="s">
        <v>1261</v>
      </c>
      <c r="C106" s="11" t="s">
        <v>1129</v>
      </c>
      <c r="D106" s="11" t="n">
        <v>11</v>
      </c>
      <c r="E106" s="11" t="s">
        <v>1249</v>
      </c>
      <c r="F106" s="11" t="s">
        <v>1135</v>
      </c>
      <c r="G106" s="11" t="s">
        <v>1250</v>
      </c>
    </row>
    <row r="107" customFormat="false" ht="23.85" hidden="false" customHeight="false" outlineLevel="0" collapsed="false">
      <c r="A107" s="11" t="s">
        <v>1247</v>
      </c>
      <c r="B107" s="11" t="s">
        <v>1262</v>
      </c>
      <c r="C107" s="11" t="s">
        <v>1129</v>
      </c>
      <c r="D107" s="11" t="n">
        <v>11</v>
      </c>
      <c r="E107" s="11" t="s">
        <v>1249</v>
      </c>
      <c r="F107" s="11" t="s">
        <v>1135</v>
      </c>
      <c r="G107" s="11" t="s">
        <v>1250</v>
      </c>
    </row>
    <row r="108" customFormat="false" ht="23.85" hidden="false" customHeight="false" outlineLevel="0" collapsed="false">
      <c r="A108" s="11" t="s">
        <v>1247</v>
      </c>
      <c r="B108" s="11" t="s">
        <v>1263</v>
      </c>
      <c r="C108" s="11" t="s">
        <v>1129</v>
      </c>
      <c r="D108" s="11" t="n">
        <v>11</v>
      </c>
      <c r="E108" s="11" t="s">
        <v>1249</v>
      </c>
      <c r="F108" s="11" t="s">
        <v>1135</v>
      </c>
      <c r="G108" s="11" t="s">
        <v>1250</v>
      </c>
    </row>
    <row r="109" customFormat="false" ht="23.85" hidden="false" customHeight="false" outlineLevel="0" collapsed="false">
      <c r="A109" s="11" t="s">
        <v>1247</v>
      </c>
      <c r="B109" s="11" t="s">
        <v>1264</v>
      </c>
      <c r="C109" s="11" t="s">
        <v>1129</v>
      </c>
      <c r="D109" s="11" t="n">
        <v>11</v>
      </c>
      <c r="E109" s="11" t="s">
        <v>1249</v>
      </c>
      <c r="F109" s="11" t="s">
        <v>1135</v>
      </c>
      <c r="G109" s="11" t="s">
        <v>1250</v>
      </c>
    </row>
    <row r="110" customFormat="false" ht="23.85" hidden="false" customHeight="false" outlineLevel="0" collapsed="false">
      <c r="A110" s="11" t="s">
        <v>1247</v>
      </c>
      <c r="B110" s="11" t="s">
        <v>1265</v>
      </c>
      <c r="C110" s="11" t="s">
        <v>1129</v>
      </c>
      <c r="D110" s="11" t="n">
        <v>11</v>
      </c>
      <c r="E110" s="11" t="s">
        <v>1249</v>
      </c>
      <c r="F110" s="11" t="s">
        <v>1135</v>
      </c>
      <c r="G110" s="11" t="s">
        <v>1250</v>
      </c>
    </row>
    <row r="111" customFormat="false" ht="23.85" hidden="false" customHeight="false" outlineLevel="0" collapsed="false">
      <c r="A111" s="11" t="s">
        <v>1247</v>
      </c>
      <c r="B111" s="11" t="s">
        <v>1266</v>
      </c>
      <c r="C111" s="11" t="s">
        <v>1129</v>
      </c>
      <c r="D111" s="11" t="n">
        <v>9</v>
      </c>
      <c r="E111" s="11" t="s">
        <v>1267</v>
      </c>
      <c r="F111" s="11" t="s">
        <v>1142</v>
      </c>
      <c r="G111" s="11" t="s">
        <v>1250</v>
      </c>
    </row>
    <row r="112" customFormat="false" ht="23.85" hidden="false" customHeight="false" outlineLevel="0" collapsed="false">
      <c r="A112" s="11" t="s">
        <v>1247</v>
      </c>
      <c r="B112" s="11" t="s">
        <v>1268</v>
      </c>
      <c r="C112" s="11" t="s">
        <v>1129</v>
      </c>
      <c r="D112" s="11" t="n">
        <v>9</v>
      </c>
      <c r="E112" s="11" t="s">
        <v>1267</v>
      </c>
      <c r="F112" s="11" t="s">
        <v>1142</v>
      </c>
      <c r="G112" s="11" t="s">
        <v>1250</v>
      </c>
    </row>
    <row r="113" customFormat="false" ht="23.85" hidden="false" customHeight="false" outlineLevel="0" collapsed="false">
      <c r="A113" s="11" t="s">
        <v>1247</v>
      </c>
      <c r="B113" s="11" t="s">
        <v>1269</v>
      </c>
      <c r="C113" s="11" t="s">
        <v>1129</v>
      </c>
      <c r="D113" s="11" t="n">
        <v>9</v>
      </c>
      <c r="E113" s="11" t="s">
        <v>1267</v>
      </c>
      <c r="F113" s="11" t="s">
        <v>1142</v>
      </c>
      <c r="G113" s="11" t="s">
        <v>1250</v>
      </c>
    </row>
    <row r="114" customFormat="false" ht="23.85" hidden="false" customHeight="false" outlineLevel="0" collapsed="false">
      <c r="A114" s="11" t="s">
        <v>1247</v>
      </c>
      <c r="B114" s="11" t="s">
        <v>1270</v>
      </c>
      <c r="C114" s="11" t="s">
        <v>1129</v>
      </c>
      <c r="D114" s="11" t="n">
        <v>9</v>
      </c>
      <c r="E114" s="11" t="s">
        <v>1267</v>
      </c>
      <c r="F114" s="11" t="s">
        <v>1142</v>
      </c>
      <c r="G114" s="11" t="s">
        <v>1250</v>
      </c>
    </row>
    <row r="115" customFormat="false" ht="23.85" hidden="false" customHeight="false" outlineLevel="0" collapsed="false">
      <c r="A115" s="11" t="s">
        <v>1247</v>
      </c>
      <c r="B115" s="11" t="s">
        <v>1271</v>
      </c>
      <c r="C115" s="11" t="s">
        <v>1129</v>
      </c>
      <c r="D115" s="11" t="n">
        <v>9</v>
      </c>
      <c r="E115" s="11" t="s">
        <v>1267</v>
      </c>
      <c r="F115" s="11" t="s">
        <v>1142</v>
      </c>
      <c r="G115" s="11" t="s">
        <v>1250</v>
      </c>
    </row>
    <row r="116" customFormat="false" ht="23.85" hidden="false" customHeight="false" outlineLevel="0" collapsed="false">
      <c r="A116" s="11" t="s">
        <v>1247</v>
      </c>
      <c r="B116" s="11" t="s">
        <v>1272</v>
      </c>
      <c r="C116" s="11" t="s">
        <v>1129</v>
      </c>
      <c r="D116" s="11" t="n">
        <v>9</v>
      </c>
      <c r="E116" s="11" t="s">
        <v>1267</v>
      </c>
      <c r="F116" s="11" t="s">
        <v>1142</v>
      </c>
      <c r="G116" s="11" t="s">
        <v>1250</v>
      </c>
    </row>
    <row r="117" customFormat="false" ht="23.85" hidden="false" customHeight="false" outlineLevel="0" collapsed="false">
      <c r="A117" s="11" t="s">
        <v>1247</v>
      </c>
      <c r="B117" s="11" t="s">
        <v>1273</v>
      </c>
      <c r="C117" s="11" t="s">
        <v>1129</v>
      </c>
      <c r="D117" s="11" t="n">
        <v>9</v>
      </c>
      <c r="E117" s="11" t="s">
        <v>1267</v>
      </c>
      <c r="F117" s="11" t="s">
        <v>1142</v>
      </c>
      <c r="G117" s="11" t="s">
        <v>1250</v>
      </c>
    </row>
    <row r="118" customFormat="false" ht="23.85" hidden="false" customHeight="false" outlineLevel="0" collapsed="false">
      <c r="A118" s="11" t="s">
        <v>1247</v>
      </c>
      <c r="B118" s="11" t="s">
        <v>1274</v>
      </c>
      <c r="C118" s="11" t="s">
        <v>1129</v>
      </c>
      <c r="D118" s="11" t="n">
        <v>9</v>
      </c>
      <c r="E118" s="11" t="s">
        <v>1267</v>
      </c>
      <c r="F118" s="11" t="s">
        <v>1142</v>
      </c>
      <c r="G118" s="11" t="s">
        <v>1250</v>
      </c>
    </row>
    <row r="119" customFormat="false" ht="23.85" hidden="false" customHeight="false" outlineLevel="0" collapsed="false">
      <c r="A119" s="11" t="s">
        <v>1247</v>
      </c>
      <c r="B119" s="11" t="s">
        <v>1275</v>
      </c>
      <c r="C119" s="11" t="s">
        <v>1129</v>
      </c>
      <c r="D119" s="11" t="n">
        <v>2</v>
      </c>
      <c r="E119" s="11" t="s">
        <v>1135</v>
      </c>
      <c r="F119" s="11" t="s">
        <v>1142</v>
      </c>
      <c r="G119" s="11" t="s">
        <v>1250</v>
      </c>
    </row>
    <row r="120" customFormat="false" ht="23.85" hidden="false" customHeight="false" outlineLevel="0" collapsed="false">
      <c r="A120" s="11" t="s">
        <v>1247</v>
      </c>
      <c r="B120" s="11" t="s">
        <v>1276</v>
      </c>
      <c r="C120" s="11" t="s">
        <v>1129</v>
      </c>
      <c r="D120" s="11" t="n">
        <v>2</v>
      </c>
      <c r="E120" s="11" t="s">
        <v>1135</v>
      </c>
      <c r="F120" s="11" t="s">
        <v>1142</v>
      </c>
      <c r="G120" s="11" t="s">
        <v>1250</v>
      </c>
    </row>
    <row r="121" customFormat="false" ht="23.85" hidden="false" customHeight="false" outlineLevel="0" collapsed="false">
      <c r="A121" s="11" t="s">
        <v>1247</v>
      </c>
      <c r="B121" s="11" t="s">
        <v>1277</v>
      </c>
      <c r="C121" s="11" t="s">
        <v>1129</v>
      </c>
      <c r="D121" s="11" t="n">
        <v>2</v>
      </c>
      <c r="E121" s="11" t="s">
        <v>1135</v>
      </c>
      <c r="F121" s="11" t="s">
        <v>1142</v>
      </c>
      <c r="G121" s="11" t="s">
        <v>1250</v>
      </c>
    </row>
    <row r="122" customFormat="false" ht="23.85" hidden="false" customHeight="false" outlineLevel="0" collapsed="false">
      <c r="A122" s="11" t="s">
        <v>1247</v>
      </c>
      <c r="B122" s="11" t="s">
        <v>1278</v>
      </c>
      <c r="C122" s="11" t="s">
        <v>1129</v>
      </c>
      <c r="D122" s="11" t="n">
        <v>2</v>
      </c>
      <c r="E122" s="11" t="s">
        <v>1135</v>
      </c>
      <c r="F122" s="11" t="s">
        <v>1142</v>
      </c>
      <c r="G122" s="11" t="s">
        <v>1250</v>
      </c>
    </row>
    <row r="123" customFormat="false" ht="23.85" hidden="false" customHeight="false" outlineLevel="0" collapsed="false">
      <c r="A123" s="11" t="s">
        <v>1247</v>
      </c>
      <c r="B123" s="11" t="s">
        <v>1279</v>
      </c>
      <c r="C123" s="11" t="s">
        <v>1129</v>
      </c>
      <c r="D123" s="11" t="n">
        <v>2</v>
      </c>
      <c r="E123" s="11" t="s">
        <v>1135</v>
      </c>
      <c r="F123" s="11" t="s">
        <v>1142</v>
      </c>
      <c r="G123" s="11" t="s">
        <v>1250</v>
      </c>
    </row>
    <row r="124" customFormat="false" ht="23.85" hidden="false" customHeight="false" outlineLevel="0" collapsed="false">
      <c r="A124" s="11" t="s">
        <v>1247</v>
      </c>
      <c r="B124" s="11" t="s">
        <v>1280</v>
      </c>
      <c r="C124" s="11" t="s">
        <v>1129</v>
      </c>
      <c r="D124" s="11" t="n">
        <v>2</v>
      </c>
      <c r="E124" s="11" t="s">
        <v>1135</v>
      </c>
      <c r="F124" s="11" t="s">
        <v>1142</v>
      </c>
      <c r="G124" s="11" t="s">
        <v>1250</v>
      </c>
    </row>
    <row r="125" customFormat="false" ht="15" hidden="false" customHeight="false" outlineLevel="0" collapsed="false">
      <c r="A125" s="11" t="s">
        <v>469</v>
      </c>
      <c r="B125" s="11" t="s">
        <v>1281</v>
      </c>
      <c r="C125" s="11" t="s">
        <v>1129</v>
      </c>
      <c r="D125" s="11" t="n">
        <v>55</v>
      </c>
      <c r="E125" s="11" t="s">
        <v>1282</v>
      </c>
      <c r="F125" s="11" t="s">
        <v>1175</v>
      </c>
      <c r="G125" s="11" t="s">
        <v>1250</v>
      </c>
    </row>
    <row r="126" customFormat="false" ht="23.85" hidden="false" customHeight="false" outlineLevel="0" collapsed="false">
      <c r="A126" s="11" t="s">
        <v>469</v>
      </c>
      <c r="B126" s="11" t="s">
        <v>1283</v>
      </c>
      <c r="C126" s="11" t="s">
        <v>1129</v>
      </c>
      <c r="D126" s="11" t="n">
        <v>29</v>
      </c>
      <c r="E126" s="11" t="s">
        <v>1284</v>
      </c>
      <c r="F126" s="11" t="s">
        <v>1149</v>
      </c>
      <c r="G126" s="11" t="s">
        <v>1250</v>
      </c>
    </row>
    <row r="127" customFormat="false" ht="23.85" hidden="false" customHeight="false" outlineLevel="0" collapsed="false">
      <c r="A127" s="11" t="s">
        <v>469</v>
      </c>
      <c r="B127" s="11" t="s">
        <v>1285</v>
      </c>
      <c r="C127" s="11" t="s">
        <v>1129</v>
      </c>
      <c r="D127" s="11" t="n">
        <v>29</v>
      </c>
      <c r="E127" s="11" t="s">
        <v>1284</v>
      </c>
      <c r="F127" s="11" t="s">
        <v>1149</v>
      </c>
      <c r="G127" s="11" t="s">
        <v>1250</v>
      </c>
    </row>
    <row r="128" customFormat="false" ht="15" hidden="false" customHeight="false" outlineLevel="0" collapsed="false">
      <c r="A128" s="11" t="s">
        <v>469</v>
      </c>
      <c r="B128" s="11" t="s">
        <v>1286</v>
      </c>
      <c r="C128" s="11" t="s">
        <v>1129</v>
      </c>
      <c r="D128" s="11" t="n">
        <v>16</v>
      </c>
      <c r="E128" s="11" t="s">
        <v>1287</v>
      </c>
      <c r="F128" s="11" t="s">
        <v>1175</v>
      </c>
      <c r="G128" s="11" t="s">
        <v>1250</v>
      </c>
    </row>
    <row r="129" customFormat="false" ht="15" hidden="false" customHeight="false" outlineLevel="0" collapsed="false">
      <c r="A129" s="11" t="s">
        <v>469</v>
      </c>
      <c r="B129" s="11" t="s">
        <v>1288</v>
      </c>
      <c r="C129" s="11" t="s">
        <v>1129</v>
      </c>
      <c r="D129" s="11" t="n">
        <v>16</v>
      </c>
      <c r="E129" s="11" t="s">
        <v>1287</v>
      </c>
      <c r="F129" s="11" t="s">
        <v>1175</v>
      </c>
      <c r="G129" s="11" t="s">
        <v>1250</v>
      </c>
    </row>
    <row r="130" customFormat="false" ht="23.85" hidden="false" customHeight="false" outlineLevel="0" collapsed="false">
      <c r="A130" s="11" t="s">
        <v>469</v>
      </c>
      <c r="B130" s="11" t="s">
        <v>1289</v>
      </c>
      <c r="C130" s="11" t="s">
        <v>1129</v>
      </c>
      <c r="D130" s="11" t="n">
        <v>55</v>
      </c>
      <c r="E130" s="11" t="s">
        <v>1290</v>
      </c>
      <c r="F130" s="11" t="s">
        <v>1291</v>
      </c>
      <c r="G130" s="11" t="s">
        <v>1250</v>
      </c>
    </row>
    <row r="131" customFormat="false" ht="23.85" hidden="false" customHeight="false" outlineLevel="0" collapsed="false">
      <c r="A131" s="11" t="s">
        <v>469</v>
      </c>
      <c r="B131" s="11" t="s">
        <v>1292</v>
      </c>
      <c r="C131" s="11" t="s">
        <v>1129</v>
      </c>
      <c r="D131" s="11" t="n">
        <v>55</v>
      </c>
      <c r="E131" s="11" t="s">
        <v>1282</v>
      </c>
      <c r="F131" s="11" t="s">
        <v>1175</v>
      </c>
      <c r="G131" s="11" t="s">
        <v>1250</v>
      </c>
    </row>
    <row r="132" customFormat="false" ht="23.85" hidden="false" customHeight="false" outlineLevel="0" collapsed="false">
      <c r="A132" s="11" t="s">
        <v>469</v>
      </c>
      <c r="B132" s="11" t="s">
        <v>1293</v>
      </c>
      <c r="C132" s="11" t="s">
        <v>1129</v>
      </c>
      <c r="D132" s="11" t="n">
        <v>18</v>
      </c>
      <c r="E132" s="11" t="s">
        <v>1294</v>
      </c>
      <c r="F132" s="11" t="s">
        <v>1135</v>
      </c>
      <c r="G132" s="11" t="s">
        <v>1250</v>
      </c>
    </row>
    <row r="133" customFormat="false" ht="23.85" hidden="false" customHeight="false" outlineLevel="0" collapsed="false">
      <c r="A133" s="11" t="s">
        <v>469</v>
      </c>
      <c r="B133" s="11" t="s">
        <v>1295</v>
      </c>
      <c r="C133" s="11" t="s">
        <v>1129</v>
      </c>
      <c r="D133" s="11" t="n">
        <v>34</v>
      </c>
      <c r="E133" s="11" t="s">
        <v>1296</v>
      </c>
      <c r="F133" s="11" t="s">
        <v>1135</v>
      </c>
      <c r="G133" s="11" t="s">
        <v>1250</v>
      </c>
    </row>
    <row r="134" customFormat="false" ht="23.85" hidden="false" customHeight="false" outlineLevel="0" collapsed="false">
      <c r="A134" s="11" t="s">
        <v>469</v>
      </c>
      <c r="B134" s="11" t="s">
        <v>1297</v>
      </c>
      <c r="C134" s="11" t="s">
        <v>1129</v>
      </c>
      <c r="D134" s="11" t="n">
        <v>16</v>
      </c>
      <c r="E134" s="11" t="s">
        <v>1287</v>
      </c>
      <c r="F134" s="11" t="s">
        <v>1175</v>
      </c>
      <c r="G134" s="11" t="s">
        <v>1250</v>
      </c>
    </row>
    <row r="135" customFormat="false" ht="23.85" hidden="false" customHeight="false" outlineLevel="0" collapsed="false">
      <c r="A135" s="11" t="s">
        <v>469</v>
      </c>
      <c r="B135" s="11" t="s">
        <v>1298</v>
      </c>
      <c r="C135" s="11" t="s">
        <v>1129</v>
      </c>
      <c r="D135" s="11" t="n">
        <v>16</v>
      </c>
      <c r="E135" s="11" t="s">
        <v>1287</v>
      </c>
      <c r="F135" s="11" t="s">
        <v>1175</v>
      </c>
      <c r="G135" s="11" t="s">
        <v>1250</v>
      </c>
    </row>
    <row r="136" customFormat="false" ht="23.85" hidden="false" customHeight="false" outlineLevel="0" collapsed="false">
      <c r="A136" s="11" t="s">
        <v>469</v>
      </c>
      <c r="B136" s="11" t="s">
        <v>1299</v>
      </c>
      <c r="C136" s="11" t="s">
        <v>1129</v>
      </c>
      <c r="D136" s="11" t="n">
        <v>12</v>
      </c>
      <c r="E136" s="11" t="s">
        <v>1300</v>
      </c>
      <c r="F136" s="11" t="s">
        <v>1175</v>
      </c>
      <c r="G136" s="11" t="s">
        <v>1250</v>
      </c>
    </row>
    <row r="137" customFormat="false" ht="23.85" hidden="false" customHeight="false" outlineLevel="0" collapsed="false">
      <c r="A137" s="11" t="s">
        <v>469</v>
      </c>
      <c r="B137" s="11" t="s">
        <v>1301</v>
      </c>
      <c r="C137" s="11" t="s">
        <v>1129</v>
      </c>
      <c r="D137" s="11" t="n">
        <v>12</v>
      </c>
      <c r="E137" s="11" t="s">
        <v>1300</v>
      </c>
      <c r="F137" s="11" t="s">
        <v>1175</v>
      </c>
      <c r="G137" s="11" t="s">
        <v>1250</v>
      </c>
    </row>
    <row r="138" customFormat="false" ht="15" hidden="false" customHeight="false" outlineLevel="0" collapsed="false">
      <c r="A138" s="11" t="s">
        <v>469</v>
      </c>
      <c r="B138" s="11" t="s">
        <v>1302</v>
      </c>
      <c r="C138" s="11" t="s">
        <v>1129</v>
      </c>
      <c r="D138" s="11" t="n">
        <v>5</v>
      </c>
      <c r="E138" s="11" t="s">
        <v>1303</v>
      </c>
      <c r="F138" s="11" t="s">
        <v>1135</v>
      </c>
      <c r="G138" s="11" t="s">
        <v>1250</v>
      </c>
    </row>
    <row r="139" customFormat="false" ht="15" hidden="false" customHeight="false" outlineLevel="0" collapsed="false">
      <c r="A139" s="11" t="s">
        <v>469</v>
      </c>
      <c r="B139" s="11" t="s">
        <v>1304</v>
      </c>
      <c r="C139" s="11" t="s">
        <v>1129</v>
      </c>
      <c r="D139" s="11" t="n">
        <v>75</v>
      </c>
      <c r="E139" s="11" t="s">
        <v>1305</v>
      </c>
      <c r="F139" s="11" t="s">
        <v>1175</v>
      </c>
      <c r="G139" s="11" t="s">
        <v>1250</v>
      </c>
    </row>
    <row r="140" customFormat="false" ht="15" hidden="false" customHeight="false" outlineLevel="0" collapsed="false">
      <c r="A140" s="11" t="s">
        <v>469</v>
      </c>
      <c r="B140" s="11" t="s">
        <v>1306</v>
      </c>
      <c r="C140" s="11" t="s">
        <v>1129</v>
      </c>
      <c r="D140" s="11" t="n">
        <v>36</v>
      </c>
      <c r="E140" s="11" t="s">
        <v>1307</v>
      </c>
      <c r="F140" s="11" t="s">
        <v>1135</v>
      </c>
      <c r="G140" s="11" t="s">
        <v>1250</v>
      </c>
    </row>
    <row r="141" customFormat="false" ht="15" hidden="false" customHeight="false" outlineLevel="0" collapsed="false">
      <c r="A141" s="11" t="s">
        <v>469</v>
      </c>
      <c r="B141" s="11" t="s">
        <v>1308</v>
      </c>
      <c r="C141" s="11" t="s">
        <v>1129</v>
      </c>
      <c r="D141" s="11" t="n">
        <v>27</v>
      </c>
      <c r="E141" s="11" t="s">
        <v>1309</v>
      </c>
      <c r="F141" s="11" t="s">
        <v>1291</v>
      </c>
      <c r="G141" s="11" t="s">
        <v>1250</v>
      </c>
    </row>
    <row r="142" customFormat="false" ht="23.85" hidden="false" customHeight="false" outlineLevel="0" collapsed="false">
      <c r="A142" s="11" t="s">
        <v>469</v>
      </c>
      <c r="B142" s="11" t="s">
        <v>1310</v>
      </c>
      <c r="C142" s="11" t="s">
        <v>1129</v>
      </c>
      <c r="D142" s="11" t="n">
        <v>33</v>
      </c>
      <c r="E142" s="11" t="s">
        <v>1311</v>
      </c>
      <c r="F142" s="11" t="s">
        <v>1135</v>
      </c>
      <c r="G142" s="11" t="s">
        <v>1250</v>
      </c>
    </row>
    <row r="143" customFormat="false" ht="15" hidden="false" customHeight="false" outlineLevel="0" collapsed="false">
      <c r="A143" s="11" t="s">
        <v>469</v>
      </c>
      <c r="B143" s="11" t="s">
        <v>1312</v>
      </c>
      <c r="C143" s="11" t="s">
        <v>1129</v>
      </c>
      <c r="D143" s="11" t="n">
        <v>16</v>
      </c>
      <c r="E143" s="11" t="s">
        <v>1287</v>
      </c>
      <c r="F143" s="11" t="s">
        <v>1175</v>
      </c>
      <c r="G143" s="11" t="s">
        <v>1250</v>
      </c>
    </row>
    <row r="144" customFormat="false" ht="23.85" hidden="false" customHeight="false" outlineLevel="0" collapsed="false">
      <c r="A144" s="11" t="s">
        <v>469</v>
      </c>
      <c r="B144" s="11" t="s">
        <v>1313</v>
      </c>
      <c r="C144" s="11" t="s">
        <v>1129</v>
      </c>
      <c r="D144" s="11" t="n">
        <v>16</v>
      </c>
      <c r="E144" s="11" t="s">
        <v>1287</v>
      </c>
      <c r="F144" s="11" t="s">
        <v>1175</v>
      </c>
      <c r="G144" s="11" t="s">
        <v>1250</v>
      </c>
    </row>
    <row r="145" customFormat="false" ht="23.85" hidden="false" customHeight="false" outlineLevel="0" collapsed="false">
      <c r="A145" s="11" t="s">
        <v>469</v>
      </c>
      <c r="B145" s="11" t="s">
        <v>1314</v>
      </c>
      <c r="C145" s="11" t="s">
        <v>1129</v>
      </c>
      <c r="D145" s="11" t="n">
        <v>35</v>
      </c>
      <c r="E145" s="11" t="s">
        <v>1315</v>
      </c>
      <c r="F145" s="11" t="s">
        <v>1135</v>
      </c>
      <c r="G145" s="11" t="s">
        <v>1250</v>
      </c>
    </row>
    <row r="146" customFormat="false" ht="23.85" hidden="false" customHeight="false" outlineLevel="0" collapsed="false">
      <c r="A146" s="11" t="s">
        <v>469</v>
      </c>
      <c r="B146" s="11" t="s">
        <v>1316</v>
      </c>
      <c r="C146" s="11" t="s">
        <v>1129</v>
      </c>
      <c r="D146" s="11" t="n">
        <v>35</v>
      </c>
      <c r="E146" s="11" t="s">
        <v>1315</v>
      </c>
      <c r="F146" s="11" t="s">
        <v>1135</v>
      </c>
      <c r="G146" s="11" t="s">
        <v>1250</v>
      </c>
    </row>
    <row r="147" customFormat="false" ht="15" hidden="false" customHeight="false" outlineLevel="0" collapsed="false">
      <c r="A147" s="11" t="s">
        <v>469</v>
      </c>
      <c r="B147" s="11" t="s">
        <v>1317</v>
      </c>
      <c r="C147" s="11" t="s">
        <v>1129</v>
      </c>
      <c r="D147" s="11" t="n">
        <v>36</v>
      </c>
      <c r="E147" s="11" t="s">
        <v>1318</v>
      </c>
      <c r="F147" s="11" t="s">
        <v>1149</v>
      </c>
      <c r="G147" s="11" t="s">
        <v>1250</v>
      </c>
    </row>
    <row r="148" customFormat="false" ht="15" hidden="false" customHeight="false" outlineLevel="0" collapsed="false">
      <c r="A148" s="11" t="s">
        <v>469</v>
      </c>
      <c r="B148" s="11" t="s">
        <v>1319</v>
      </c>
      <c r="C148" s="11" t="s">
        <v>1129</v>
      </c>
      <c r="D148" s="11" t="n">
        <v>55</v>
      </c>
      <c r="E148" s="11" t="s">
        <v>1282</v>
      </c>
      <c r="F148" s="11" t="s">
        <v>1175</v>
      </c>
      <c r="G148" s="11" t="s">
        <v>1250</v>
      </c>
    </row>
    <row r="149" customFormat="false" ht="15" hidden="false" customHeight="false" outlineLevel="0" collapsed="false">
      <c r="A149" s="11" t="s">
        <v>469</v>
      </c>
      <c r="B149" s="11" t="s">
        <v>1320</v>
      </c>
      <c r="C149" s="11" t="s">
        <v>1129</v>
      </c>
      <c r="D149" s="11" t="n">
        <v>36</v>
      </c>
      <c r="E149" s="11" t="s">
        <v>1318</v>
      </c>
      <c r="F149" s="11" t="s">
        <v>1149</v>
      </c>
      <c r="G149" s="11" t="s">
        <v>1250</v>
      </c>
    </row>
    <row r="150" customFormat="false" ht="23.85" hidden="false" customHeight="false" outlineLevel="0" collapsed="false">
      <c r="A150" s="11" t="s">
        <v>469</v>
      </c>
      <c r="B150" s="11" t="s">
        <v>1321</v>
      </c>
      <c r="C150" s="11" t="s">
        <v>1129</v>
      </c>
      <c r="D150" s="11" t="n">
        <v>55</v>
      </c>
      <c r="E150" s="11" t="s">
        <v>1282</v>
      </c>
      <c r="F150" s="11" t="s">
        <v>1175</v>
      </c>
      <c r="G150" s="11" t="s">
        <v>1250</v>
      </c>
    </row>
    <row r="151" customFormat="false" ht="23.85" hidden="false" customHeight="false" outlineLevel="0" collapsed="false">
      <c r="A151" s="11" t="s">
        <v>469</v>
      </c>
      <c r="B151" s="11" t="s">
        <v>1322</v>
      </c>
      <c r="C151" s="11" t="s">
        <v>1129</v>
      </c>
      <c r="D151" s="11" t="n">
        <v>36</v>
      </c>
      <c r="E151" s="11" t="s">
        <v>1318</v>
      </c>
      <c r="F151" s="11" t="s">
        <v>1149</v>
      </c>
      <c r="G151" s="11" t="s">
        <v>1250</v>
      </c>
    </row>
    <row r="152" customFormat="false" ht="23.85" hidden="false" customHeight="false" outlineLevel="0" collapsed="false">
      <c r="A152" s="11" t="s">
        <v>469</v>
      </c>
      <c r="B152" s="11" t="s">
        <v>1323</v>
      </c>
      <c r="C152" s="11" t="s">
        <v>1129</v>
      </c>
      <c r="D152" s="11" t="n">
        <v>36</v>
      </c>
      <c r="E152" s="11" t="s">
        <v>1318</v>
      </c>
      <c r="F152" s="11" t="s">
        <v>1149</v>
      </c>
      <c r="G152" s="11" t="s">
        <v>1250</v>
      </c>
    </row>
    <row r="153" customFormat="false" ht="23.85" hidden="false" customHeight="false" outlineLevel="0" collapsed="false">
      <c r="A153" s="11" t="s">
        <v>469</v>
      </c>
      <c r="B153" s="11" t="s">
        <v>1324</v>
      </c>
      <c r="C153" s="11" t="s">
        <v>1129</v>
      </c>
      <c r="D153" s="11" t="n">
        <v>35</v>
      </c>
      <c r="E153" s="11" t="s">
        <v>1318</v>
      </c>
      <c r="F153" s="11" t="s">
        <v>1175</v>
      </c>
      <c r="G153" s="11" t="s">
        <v>1250</v>
      </c>
    </row>
    <row r="154" customFormat="false" ht="23.85" hidden="false" customHeight="false" outlineLevel="0" collapsed="false">
      <c r="A154" s="11" t="s">
        <v>469</v>
      </c>
      <c r="B154" s="11" t="s">
        <v>1325</v>
      </c>
      <c r="C154" s="11" t="s">
        <v>1129</v>
      </c>
      <c r="D154" s="11" t="n">
        <v>35</v>
      </c>
      <c r="E154" s="11" t="s">
        <v>1318</v>
      </c>
      <c r="F154" s="11" t="s">
        <v>1175</v>
      </c>
      <c r="G154" s="11" t="s">
        <v>1250</v>
      </c>
    </row>
    <row r="155" customFormat="false" ht="23.85" hidden="false" customHeight="false" outlineLevel="0" collapsed="false">
      <c r="A155" s="11" t="s">
        <v>469</v>
      </c>
      <c r="B155" s="11" t="s">
        <v>1326</v>
      </c>
      <c r="C155" s="11" t="s">
        <v>1129</v>
      </c>
      <c r="D155" s="11" t="n">
        <v>75</v>
      </c>
      <c r="E155" s="11" t="s">
        <v>1305</v>
      </c>
      <c r="F155" s="11" t="s">
        <v>1175</v>
      </c>
      <c r="G155" s="11" t="s">
        <v>1250</v>
      </c>
    </row>
    <row r="156" customFormat="false" ht="23.85" hidden="false" customHeight="false" outlineLevel="0" collapsed="false">
      <c r="A156" s="11" t="s">
        <v>469</v>
      </c>
      <c r="B156" s="11" t="s">
        <v>1327</v>
      </c>
      <c r="C156" s="11" t="s">
        <v>1129</v>
      </c>
      <c r="D156" s="11" t="n">
        <v>75</v>
      </c>
      <c r="E156" s="11" t="s">
        <v>1305</v>
      </c>
      <c r="F156" s="11" t="s">
        <v>1175</v>
      </c>
      <c r="G156" s="11" t="s">
        <v>1250</v>
      </c>
    </row>
    <row r="157" customFormat="false" ht="23.85" hidden="false" customHeight="false" outlineLevel="0" collapsed="false">
      <c r="A157" s="11" t="s">
        <v>469</v>
      </c>
      <c r="B157" s="11" t="s">
        <v>1328</v>
      </c>
      <c r="C157" s="11" t="s">
        <v>1129</v>
      </c>
      <c r="D157" s="11" t="n">
        <v>75</v>
      </c>
      <c r="E157" s="11" t="s">
        <v>1305</v>
      </c>
      <c r="F157" s="11" t="s">
        <v>1175</v>
      </c>
      <c r="G157" s="11" t="s">
        <v>1250</v>
      </c>
    </row>
    <row r="158" customFormat="false" ht="23.85" hidden="false" customHeight="false" outlineLevel="0" collapsed="false">
      <c r="A158" s="11" t="s">
        <v>469</v>
      </c>
      <c r="B158" s="11" t="s">
        <v>1329</v>
      </c>
      <c r="C158" s="11" t="s">
        <v>1129</v>
      </c>
      <c r="D158" s="11" t="n">
        <v>75</v>
      </c>
      <c r="E158" s="11" t="s">
        <v>1305</v>
      </c>
      <c r="F158" s="11" t="s">
        <v>1175</v>
      </c>
      <c r="G158" s="11" t="s">
        <v>1250</v>
      </c>
    </row>
    <row r="159" customFormat="false" ht="23.85" hidden="false" customHeight="false" outlineLevel="0" collapsed="false">
      <c r="A159" s="11" t="s">
        <v>469</v>
      </c>
      <c r="B159" s="11" t="s">
        <v>1330</v>
      </c>
      <c r="C159" s="11" t="s">
        <v>1129</v>
      </c>
      <c r="D159" s="11" t="n">
        <v>1</v>
      </c>
      <c r="E159" s="11" t="s">
        <v>1135</v>
      </c>
      <c r="F159" s="11" t="s">
        <v>1135</v>
      </c>
      <c r="G159" s="11" t="s">
        <v>1250</v>
      </c>
    </row>
    <row r="160" customFormat="false" ht="23.85" hidden="false" customHeight="false" outlineLevel="0" collapsed="false">
      <c r="A160" s="11" t="s">
        <v>469</v>
      </c>
      <c r="B160" s="11" t="s">
        <v>1331</v>
      </c>
      <c r="C160" s="11" t="s">
        <v>1129</v>
      </c>
      <c r="D160" s="11" t="n">
        <v>60</v>
      </c>
      <c r="E160" s="11" t="s">
        <v>1332</v>
      </c>
      <c r="F160" s="11" t="s">
        <v>1135</v>
      </c>
      <c r="G160" s="11" t="s">
        <v>1250</v>
      </c>
    </row>
    <row r="161" customFormat="false" ht="23.85" hidden="false" customHeight="false" outlineLevel="0" collapsed="false">
      <c r="A161" s="11" t="s">
        <v>469</v>
      </c>
      <c r="B161" s="11" t="s">
        <v>1333</v>
      </c>
      <c r="C161" s="11" t="s">
        <v>1129</v>
      </c>
      <c r="D161" s="11" t="n">
        <v>29</v>
      </c>
      <c r="E161" s="11" t="s">
        <v>1284</v>
      </c>
      <c r="F161" s="11" t="s">
        <v>1149</v>
      </c>
      <c r="G161" s="11" t="s">
        <v>1250</v>
      </c>
    </row>
    <row r="162" customFormat="false" ht="15" hidden="false" customHeight="false" outlineLevel="0" collapsed="false">
      <c r="A162" s="11" t="s">
        <v>469</v>
      </c>
      <c r="B162" s="11" t="s">
        <v>1334</v>
      </c>
      <c r="C162" s="11" t="s">
        <v>1129</v>
      </c>
      <c r="D162" s="11" t="n">
        <v>31</v>
      </c>
      <c r="E162" s="11" t="s">
        <v>1335</v>
      </c>
      <c r="F162" s="11" t="s">
        <v>1135</v>
      </c>
      <c r="G162" s="11" t="s">
        <v>1250</v>
      </c>
    </row>
    <row r="163" customFormat="false" ht="15" hidden="false" customHeight="false" outlineLevel="0" collapsed="false">
      <c r="A163" s="11" t="s">
        <v>469</v>
      </c>
      <c r="B163" s="11" t="s">
        <v>1336</v>
      </c>
      <c r="C163" s="11" t="s">
        <v>1129</v>
      </c>
      <c r="D163" s="11" t="n">
        <v>30</v>
      </c>
      <c r="E163" s="11" t="s">
        <v>1337</v>
      </c>
      <c r="F163" s="11" t="s">
        <v>1149</v>
      </c>
      <c r="G163" s="11" t="s">
        <v>1250</v>
      </c>
    </row>
    <row r="164" customFormat="false" ht="15" hidden="false" customHeight="false" outlineLevel="0" collapsed="false">
      <c r="A164" s="11" t="s">
        <v>1338</v>
      </c>
      <c r="B164" s="11" t="s">
        <v>1339</v>
      </c>
      <c r="C164" s="11" t="s">
        <v>1129</v>
      </c>
      <c r="D164" s="11" t="n">
        <v>12</v>
      </c>
      <c r="E164" s="11" t="s">
        <v>1152</v>
      </c>
      <c r="F164" s="11" t="s">
        <v>1148</v>
      </c>
      <c r="G164" s="11" t="s">
        <v>1250</v>
      </c>
    </row>
    <row r="165" customFormat="false" ht="15" hidden="false" customHeight="false" outlineLevel="0" collapsed="false">
      <c r="A165" s="11" t="s">
        <v>1338</v>
      </c>
      <c r="B165" s="11" t="s">
        <v>1340</v>
      </c>
      <c r="C165" s="11" t="s">
        <v>1129</v>
      </c>
      <c r="D165" s="11" t="n">
        <v>12</v>
      </c>
      <c r="E165" s="11" t="s">
        <v>1152</v>
      </c>
      <c r="F165" s="11" t="s">
        <v>1148</v>
      </c>
      <c r="G165" s="11" t="s">
        <v>1250</v>
      </c>
    </row>
    <row r="166" customFormat="false" ht="15" hidden="false" customHeight="false" outlineLevel="0" collapsed="false">
      <c r="A166" s="11" t="s">
        <v>1338</v>
      </c>
      <c r="B166" s="11" t="s">
        <v>1341</v>
      </c>
      <c r="C166" s="11" t="s">
        <v>1129</v>
      </c>
      <c r="D166" s="11" t="n">
        <v>12</v>
      </c>
      <c r="E166" s="11" t="s">
        <v>1152</v>
      </c>
      <c r="F166" s="11" t="s">
        <v>1148</v>
      </c>
      <c r="G166" s="11" t="s">
        <v>1250</v>
      </c>
    </row>
    <row r="167" customFormat="false" ht="15" hidden="false" customHeight="false" outlineLevel="0" collapsed="false">
      <c r="A167" s="11" t="s">
        <v>1338</v>
      </c>
      <c r="B167" s="11" t="s">
        <v>1342</v>
      </c>
      <c r="C167" s="11" t="s">
        <v>1129</v>
      </c>
      <c r="D167" s="11" t="n">
        <v>12</v>
      </c>
      <c r="E167" s="11" t="s">
        <v>1152</v>
      </c>
      <c r="F167" s="11" t="s">
        <v>1148</v>
      </c>
      <c r="G167" s="11" t="s">
        <v>1250</v>
      </c>
    </row>
    <row r="168" customFormat="false" ht="15" hidden="false" customHeight="false" outlineLevel="0" collapsed="false">
      <c r="A168" s="11" t="s">
        <v>271</v>
      </c>
      <c r="B168" s="11" t="s">
        <v>1343</v>
      </c>
      <c r="C168" s="11" t="s">
        <v>1129</v>
      </c>
      <c r="D168" s="11" t="n">
        <v>13</v>
      </c>
      <c r="E168" s="11" t="s">
        <v>1344</v>
      </c>
      <c r="F168" s="11" t="s">
        <v>1345</v>
      </c>
      <c r="G168" s="11" t="s">
        <v>1250</v>
      </c>
    </row>
    <row r="169" customFormat="false" ht="15" hidden="false" customHeight="false" outlineLevel="0" collapsed="false">
      <c r="A169" s="11" t="s">
        <v>271</v>
      </c>
      <c r="B169" s="11" t="s">
        <v>1346</v>
      </c>
      <c r="C169" s="11" t="s">
        <v>1147</v>
      </c>
      <c r="D169" s="11" t="n">
        <v>12</v>
      </c>
      <c r="E169" s="11" t="s">
        <v>1347</v>
      </c>
      <c r="F169" s="11" t="s">
        <v>1348</v>
      </c>
      <c r="G169" s="11" t="s">
        <v>1250</v>
      </c>
    </row>
    <row r="170" customFormat="false" ht="15" hidden="false" customHeight="false" outlineLevel="0" collapsed="false">
      <c r="A170" s="11" t="s">
        <v>1139</v>
      </c>
      <c r="B170" s="11" t="s">
        <v>1349</v>
      </c>
      <c r="C170" s="11" t="s">
        <v>1129</v>
      </c>
      <c r="D170" s="11" t="n">
        <v>13</v>
      </c>
      <c r="E170" s="11" t="s">
        <v>1344</v>
      </c>
      <c r="F170" s="11" t="s">
        <v>1345</v>
      </c>
      <c r="G170" s="11" t="s">
        <v>1250</v>
      </c>
    </row>
    <row r="171" customFormat="false" ht="15" hidden="false" customHeight="false" outlineLevel="0" collapsed="false">
      <c r="A171" s="11" t="s">
        <v>271</v>
      </c>
      <c r="B171" s="11" t="s">
        <v>1350</v>
      </c>
      <c r="C171" s="11" t="s">
        <v>1129</v>
      </c>
      <c r="D171" s="11" t="n">
        <v>18</v>
      </c>
      <c r="E171" s="11" t="s">
        <v>1351</v>
      </c>
      <c r="F171" s="11" t="s">
        <v>1134</v>
      </c>
      <c r="G171" s="11" t="s">
        <v>1250</v>
      </c>
    </row>
    <row r="172" customFormat="false" ht="15" hidden="false" customHeight="false" outlineLevel="0" collapsed="false">
      <c r="A172" s="11" t="s">
        <v>271</v>
      </c>
      <c r="B172" s="11" t="s">
        <v>1352</v>
      </c>
      <c r="C172" s="11" t="s">
        <v>1147</v>
      </c>
      <c r="D172" s="11" t="n">
        <v>17</v>
      </c>
      <c r="E172" s="11" t="s">
        <v>1353</v>
      </c>
      <c r="F172" s="11" t="s">
        <v>1354</v>
      </c>
      <c r="G172" s="11" t="s">
        <v>1250</v>
      </c>
    </row>
    <row r="173" customFormat="false" ht="15" hidden="false" customHeight="false" outlineLevel="0" collapsed="false">
      <c r="A173" s="11" t="s">
        <v>1139</v>
      </c>
      <c r="B173" s="11" t="s">
        <v>1355</v>
      </c>
      <c r="C173" s="11" t="s">
        <v>1129</v>
      </c>
      <c r="D173" s="11" t="n">
        <v>17</v>
      </c>
      <c r="E173" s="11" t="s">
        <v>1351</v>
      </c>
      <c r="F173" s="11" t="s">
        <v>1356</v>
      </c>
      <c r="G173" s="11" t="s">
        <v>1250</v>
      </c>
    </row>
    <row r="174" customFormat="false" ht="15" hidden="false" customHeight="false" outlineLevel="0" collapsed="false">
      <c r="A174" s="11" t="s">
        <v>1127</v>
      </c>
      <c r="B174" s="11" t="s">
        <v>1357</v>
      </c>
      <c r="C174" s="11" t="s">
        <v>1129</v>
      </c>
      <c r="D174" s="11" t="n">
        <v>4</v>
      </c>
      <c r="E174" s="11" t="s">
        <v>1134</v>
      </c>
      <c r="F174" s="11" t="s">
        <v>1137</v>
      </c>
      <c r="G174" s="11" t="s">
        <v>1250</v>
      </c>
    </row>
    <row r="177" customFormat="false" ht="15" hidden="false" customHeight="false" outlineLevel="0" collapsed="false">
      <c r="A177" s="6" t="s">
        <v>1358</v>
      </c>
    </row>
    <row r="178" customFormat="false" ht="30" hidden="false" customHeight="true" outlineLevel="0" collapsed="false">
      <c r="A178" s="10" t="s">
        <v>1120</v>
      </c>
      <c r="B178" s="10" t="s">
        <v>1359</v>
      </c>
      <c r="C178" s="10"/>
      <c r="D178" s="10"/>
      <c r="E178" s="10"/>
      <c r="F178" s="10"/>
      <c r="G178" s="10" t="s">
        <v>1360</v>
      </c>
    </row>
    <row r="179" customFormat="false" ht="23.85" hidden="false" customHeight="false" outlineLevel="0" collapsed="false">
      <c r="A179" s="11" t="s">
        <v>1163</v>
      </c>
      <c r="B179" s="11" t="n">
        <v>42</v>
      </c>
      <c r="C179" s="11"/>
      <c r="D179" s="11"/>
      <c r="E179" s="11"/>
      <c r="F179" s="11"/>
      <c r="G179" s="11" t="s">
        <v>1361</v>
      </c>
    </row>
    <row r="180" customFormat="false" ht="23.85" hidden="false" customHeight="false" outlineLevel="0" collapsed="false">
      <c r="A180" s="11" t="s">
        <v>1362</v>
      </c>
      <c r="B180" s="11" t="s">
        <v>1363</v>
      </c>
      <c r="C180" s="11"/>
      <c r="D180" s="11"/>
      <c r="E180" s="11"/>
      <c r="F180" s="11"/>
      <c r="G180" s="11" t="s">
        <v>1364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6" min="3" style="0" width="22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1365</v>
      </c>
    </row>
    <row r="2" customFormat="false" ht="15" hidden="false" customHeight="false" outlineLevel="0" collapsed="false">
      <c r="A2" s="5" t="s">
        <v>1366</v>
      </c>
    </row>
    <row r="4" customFormat="false" ht="30" hidden="false" customHeight="true" outlineLevel="0" collapsed="false">
      <c r="A4" s="10" t="s">
        <v>1367</v>
      </c>
      <c r="B4" s="10" t="s">
        <v>1368</v>
      </c>
      <c r="C4" s="10" t="s">
        <v>1369</v>
      </c>
      <c r="D4" s="10" t="s">
        <v>1370</v>
      </c>
      <c r="E4" s="10" t="s">
        <v>1371</v>
      </c>
      <c r="F4" s="10" t="s">
        <v>1372</v>
      </c>
      <c r="G4" s="10" t="s">
        <v>1373</v>
      </c>
    </row>
    <row r="5" customFormat="false" ht="15" hidden="false" customHeight="false" outlineLevel="0" collapsed="false">
      <c r="A5" s="11" t="n">
        <v>1</v>
      </c>
      <c r="B5" s="11" t="s">
        <v>1374</v>
      </c>
      <c r="C5" s="11" t="s">
        <v>1375</v>
      </c>
      <c r="D5" s="11" t="s">
        <v>1376</v>
      </c>
      <c r="E5" s="11" t="s">
        <v>1377</v>
      </c>
      <c r="F5" s="11" t="s">
        <v>1377</v>
      </c>
      <c r="G5" s="11" t="s">
        <v>1378</v>
      </c>
    </row>
    <row r="6" customFormat="false" ht="15" hidden="false" customHeight="false" outlineLevel="0" collapsed="false">
      <c r="A6" s="11" t="n">
        <v>2</v>
      </c>
      <c r="B6" s="11" t="s">
        <v>1379</v>
      </c>
      <c r="C6" s="11" t="s">
        <v>1375</v>
      </c>
      <c r="D6" s="11" t="s">
        <v>1376</v>
      </c>
      <c r="E6" s="11" t="s">
        <v>1377</v>
      </c>
      <c r="F6" s="11" t="s">
        <v>1377</v>
      </c>
      <c r="G6" s="11" t="s">
        <v>1378</v>
      </c>
    </row>
    <row r="7" customFormat="false" ht="15" hidden="false" customHeight="false" outlineLevel="0" collapsed="false">
      <c r="A7" s="11" t="n">
        <v>3</v>
      </c>
      <c r="B7" s="11" t="s">
        <v>1379</v>
      </c>
      <c r="C7" s="11" t="s">
        <v>1380</v>
      </c>
      <c r="D7" s="11" t="s">
        <v>1378</v>
      </c>
      <c r="E7" s="11" t="s">
        <v>1381</v>
      </c>
      <c r="F7" s="11" t="s">
        <v>1378</v>
      </c>
      <c r="G7" s="11" t="s">
        <v>1378</v>
      </c>
    </row>
    <row r="8" customFormat="false" ht="15" hidden="false" customHeight="false" outlineLevel="0" collapsed="false">
      <c r="A8" s="11" t="n">
        <v>4</v>
      </c>
      <c r="B8" s="11" t="s">
        <v>1379</v>
      </c>
      <c r="C8" s="11" t="s">
        <v>1380</v>
      </c>
      <c r="D8" s="11" t="s">
        <v>1378</v>
      </c>
      <c r="E8" s="11" t="s">
        <v>1381</v>
      </c>
      <c r="F8" s="11" t="s">
        <v>1378</v>
      </c>
      <c r="G8" s="11" t="s">
        <v>1378</v>
      </c>
    </row>
    <row r="9" customFormat="false" ht="15" hidden="false" customHeight="false" outlineLevel="0" collapsed="false">
      <c r="A9" s="11" t="n">
        <v>5</v>
      </c>
      <c r="B9" s="11" t="s">
        <v>1379</v>
      </c>
      <c r="C9" s="11" t="s">
        <v>1375</v>
      </c>
      <c r="D9" s="11" t="s">
        <v>1376</v>
      </c>
      <c r="E9" s="11" t="s">
        <v>1377</v>
      </c>
      <c r="F9" s="11" t="s">
        <v>1377</v>
      </c>
      <c r="G9" s="11" t="s">
        <v>1378</v>
      </c>
    </row>
    <row r="10" customFormat="false" ht="15" hidden="false" customHeight="false" outlineLevel="0" collapsed="false">
      <c r="A10" s="11" t="n">
        <v>6</v>
      </c>
      <c r="B10" s="11" t="s">
        <v>1379</v>
      </c>
      <c r="C10" s="11" t="s">
        <v>1380</v>
      </c>
      <c r="D10" s="11" t="s">
        <v>1378</v>
      </c>
      <c r="E10" s="11" t="s">
        <v>1381</v>
      </c>
      <c r="F10" s="11" t="s">
        <v>1378</v>
      </c>
      <c r="G10" s="11" t="s">
        <v>1378</v>
      </c>
    </row>
    <row r="11" customFormat="false" ht="15" hidden="false" customHeight="false" outlineLevel="0" collapsed="false">
      <c r="A11" s="11" t="n">
        <v>7</v>
      </c>
      <c r="B11" s="11" t="s">
        <v>1379</v>
      </c>
      <c r="C11" s="11" t="s">
        <v>1375</v>
      </c>
      <c r="D11" s="11" t="s">
        <v>1378</v>
      </c>
      <c r="E11" s="11" t="s">
        <v>1377</v>
      </c>
      <c r="F11" s="11" t="s">
        <v>1378</v>
      </c>
      <c r="G11" s="11" t="s">
        <v>1378</v>
      </c>
    </row>
    <row r="12" customFormat="false" ht="15" hidden="false" customHeight="false" outlineLevel="0" collapsed="false">
      <c r="A12" s="11" t="n">
        <v>8</v>
      </c>
      <c r="B12" s="11" t="s">
        <v>1379</v>
      </c>
      <c r="C12" s="11" t="s">
        <v>1380</v>
      </c>
      <c r="D12" s="11" t="s">
        <v>1378</v>
      </c>
      <c r="E12" s="11" t="s">
        <v>1381</v>
      </c>
      <c r="F12" s="11" t="s">
        <v>1378</v>
      </c>
      <c r="G12" s="11" t="s">
        <v>1378</v>
      </c>
    </row>
    <row r="13" customFormat="false" ht="15" hidden="false" customHeight="false" outlineLevel="0" collapsed="false">
      <c r="A13" s="11" t="n">
        <v>9</v>
      </c>
      <c r="B13" s="11" t="s">
        <v>1379</v>
      </c>
      <c r="C13" s="11" t="s">
        <v>1375</v>
      </c>
      <c r="D13" s="11" t="s">
        <v>1376</v>
      </c>
      <c r="E13" s="11" t="s">
        <v>1377</v>
      </c>
      <c r="F13" s="11" t="s">
        <v>1377</v>
      </c>
      <c r="G13" s="11" t="s">
        <v>1378</v>
      </c>
    </row>
    <row r="14" customFormat="false" ht="15" hidden="false" customHeight="false" outlineLevel="0" collapsed="false">
      <c r="A14" s="11" t="n">
        <v>10</v>
      </c>
      <c r="B14" s="11" t="s">
        <v>1379</v>
      </c>
      <c r="C14" s="11" t="s">
        <v>1375</v>
      </c>
      <c r="D14" s="11" t="s">
        <v>1376</v>
      </c>
      <c r="E14" s="11" t="s">
        <v>1377</v>
      </c>
      <c r="F14" s="11" t="s">
        <v>1377</v>
      </c>
      <c r="G14" s="11" t="s">
        <v>1378</v>
      </c>
    </row>
    <row r="15" customFormat="false" ht="15" hidden="false" customHeight="false" outlineLevel="0" collapsed="false">
      <c r="A15" s="11" t="n">
        <v>11</v>
      </c>
      <c r="B15" s="11" t="s">
        <v>1379</v>
      </c>
      <c r="C15" s="11" t="s">
        <v>1375</v>
      </c>
      <c r="D15" s="11" t="s">
        <v>1376</v>
      </c>
      <c r="E15" s="11" t="s">
        <v>1377</v>
      </c>
      <c r="F15" s="11" t="s">
        <v>1377</v>
      </c>
      <c r="G15" s="11" t="s">
        <v>1378</v>
      </c>
    </row>
    <row r="16" customFormat="false" ht="15" hidden="false" customHeight="false" outlineLevel="0" collapsed="false">
      <c r="A16" s="11" t="n">
        <v>12</v>
      </c>
      <c r="B16" s="11" t="s">
        <v>1379</v>
      </c>
      <c r="C16" s="11" t="s">
        <v>1375</v>
      </c>
      <c r="D16" s="11" t="s">
        <v>1376</v>
      </c>
      <c r="E16" s="11" t="s">
        <v>1377</v>
      </c>
      <c r="F16" s="11" t="s">
        <v>1377</v>
      </c>
      <c r="G16" s="11" t="s">
        <v>1378</v>
      </c>
    </row>
    <row r="17" customFormat="false" ht="15" hidden="false" customHeight="false" outlineLevel="0" collapsed="false">
      <c r="A17" s="11" t="n">
        <v>13</v>
      </c>
      <c r="B17" s="11" t="s">
        <v>1379</v>
      </c>
      <c r="C17" s="11" t="s">
        <v>1375</v>
      </c>
      <c r="D17" s="11" t="s">
        <v>1376</v>
      </c>
      <c r="E17" s="11" t="s">
        <v>1377</v>
      </c>
      <c r="F17" s="11" t="s">
        <v>1377</v>
      </c>
      <c r="G17" s="11" t="s">
        <v>1378</v>
      </c>
    </row>
    <row r="18" customFormat="false" ht="15" hidden="false" customHeight="false" outlineLevel="0" collapsed="false">
      <c r="A18" s="11" t="n">
        <v>14</v>
      </c>
      <c r="B18" s="11" t="s">
        <v>1379</v>
      </c>
      <c r="C18" s="11" t="s">
        <v>1375</v>
      </c>
      <c r="D18" s="11" t="s">
        <v>1376</v>
      </c>
      <c r="E18" s="11" t="s">
        <v>1377</v>
      </c>
      <c r="F18" s="11" t="s">
        <v>1377</v>
      </c>
      <c r="G18" s="11" t="s">
        <v>1378</v>
      </c>
    </row>
    <row r="19" customFormat="false" ht="15" hidden="false" customHeight="false" outlineLevel="0" collapsed="false">
      <c r="A19" s="11" t="n">
        <v>15</v>
      </c>
      <c r="B19" s="11" t="s">
        <v>1379</v>
      </c>
      <c r="C19" s="11" t="s">
        <v>1375</v>
      </c>
      <c r="D19" s="11" t="s">
        <v>1376</v>
      </c>
      <c r="E19" s="11" t="s">
        <v>1377</v>
      </c>
      <c r="F19" s="11" t="s">
        <v>1377</v>
      </c>
      <c r="G19" s="11" t="s">
        <v>1378</v>
      </c>
    </row>
    <row r="20" customFormat="false" ht="15" hidden="false" customHeight="false" outlineLevel="0" collapsed="false">
      <c r="A20" s="11" t="n">
        <v>16</v>
      </c>
      <c r="B20" s="11" t="s">
        <v>1379</v>
      </c>
      <c r="C20" s="11" t="s">
        <v>1380</v>
      </c>
      <c r="D20" s="11" t="s">
        <v>1378</v>
      </c>
      <c r="E20" s="11" t="s">
        <v>1381</v>
      </c>
      <c r="F20" s="11" t="s">
        <v>1378</v>
      </c>
      <c r="G20" s="11" t="s">
        <v>1378</v>
      </c>
    </row>
    <row r="21" customFormat="false" ht="15" hidden="false" customHeight="false" outlineLevel="0" collapsed="false">
      <c r="A21" s="11" t="n">
        <v>17</v>
      </c>
      <c r="B21" s="11" t="s">
        <v>1379</v>
      </c>
      <c r="C21" s="11" t="s">
        <v>1375</v>
      </c>
      <c r="D21" s="11" t="s">
        <v>1378</v>
      </c>
      <c r="E21" s="11" t="s">
        <v>1377</v>
      </c>
      <c r="F21" s="11" t="s">
        <v>1378</v>
      </c>
      <c r="G21" s="11" t="s">
        <v>1378</v>
      </c>
    </row>
    <row r="22" customFormat="false" ht="15" hidden="false" customHeight="false" outlineLevel="0" collapsed="false">
      <c r="A22" s="11" t="n">
        <v>18</v>
      </c>
      <c r="B22" s="11" t="s">
        <v>1379</v>
      </c>
      <c r="C22" s="11" t="s">
        <v>1380</v>
      </c>
      <c r="D22" s="11" t="s">
        <v>1378</v>
      </c>
      <c r="E22" s="11" t="s">
        <v>1381</v>
      </c>
      <c r="F22" s="11" t="s">
        <v>1378</v>
      </c>
      <c r="G22" s="11" t="s">
        <v>1378</v>
      </c>
    </row>
    <row r="23" customFormat="false" ht="15" hidden="false" customHeight="false" outlineLevel="0" collapsed="false">
      <c r="A23" s="11" t="n">
        <v>19</v>
      </c>
      <c r="B23" s="11" t="s">
        <v>1379</v>
      </c>
      <c r="C23" s="11" t="s">
        <v>1375</v>
      </c>
      <c r="D23" s="11" t="s">
        <v>1378</v>
      </c>
      <c r="E23" s="11" t="s">
        <v>1382</v>
      </c>
      <c r="F23" s="11" t="s">
        <v>1378</v>
      </c>
      <c r="G23" s="11" t="s">
        <v>1378</v>
      </c>
    </row>
    <row r="24" customFormat="false" ht="15" hidden="false" customHeight="false" outlineLevel="0" collapsed="false">
      <c r="A24" s="11" t="n">
        <v>20</v>
      </c>
      <c r="B24" s="11" t="s">
        <v>1379</v>
      </c>
      <c r="C24" s="11" t="s">
        <v>1380</v>
      </c>
      <c r="D24" s="11" t="s">
        <v>1378</v>
      </c>
      <c r="E24" s="11" t="s">
        <v>1381</v>
      </c>
      <c r="F24" s="11" t="s">
        <v>1378</v>
      </c>
      <c r="G24" s="11" t="s">
        <v>1378</v>
      </c>
    </row>
    <row r="25" customFormat="false" ht="15" hidden="false" customHeight="false" outlineLevel="0" collapsed="false">
      <c r="A25" s="11" t="n">
        <v>21</v>
      </c>
      <c r="B25" s="11" t="s">
        <v>1379</v>
      </c>
      <c r="C25" s="11" t="s">
        <v>1383</v>
      </c>
      <c r="D25" s="11" t="s">
        <v>1384</v>
      </c>
      <c r="E25" s="11" t="s">
        <v>1385</v>
      </c>
      <c r="F25" s="11" t="s">
        <v>1377</v>
      </c>
      <c r="G25" s="11" t="s">
        <v>1378</v>
      </c>
    </row>
    <row r="26" customFormat="false" ht="15" hidden="false" customHeight="false" outlineLevel="0" collapsed="false">
      <c r="A26" s="11" t="n">
        <v>22</v>
      </c>
      <c r="B26" s="11" t="s">
        <v>1379</v>
      </c>
      <c r="C26" s="11" t="s">
        <v>1383</v>
      </c>
      <c r="D26" s="11" t="s">
        <v>1384</v>
      </c>
      <c r="E26" s="11" t="s">
        <v>1385</v>
      </c>
      <c r="F26" s="11" t="s">
        <v>1377</v>
      </c>
      <c r="G26" s="11" t="s">
        <v>1378</v>
      </c>
    </row>
  </sheetData>
  <conditionalFormatting sqref="C5:G26">
    <cfRule type="cellIs" priority="2" operator="equal" aboveAverage="0" equalAverage="0" bottom="0" percent="0" rank="0" text="" dxfId="8">
      <formula>"no data"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0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9"/>
    <col collapsed="false" customWidth="true" hidden="false" outlineLevel="0" max="8" min="8" style="0" width="22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1386</v>
      </c>
    </row>
    <row r="2" customFormat="false" ht="15" hidden="false" customHeight="false" outlineLevel="0" collapsed="false">
      <c r="A2" s="5" t="s">
        <v>1387</v>
      </c>
    </row>
    <row r="4" customFormat="false" ht="30" hidden="false" customHeight="true" outlineLevel="0" collapsed="false">
      <c r="A4" s="10" t="s">
        <v>1367</v>
      </c>
      <c r="B4" s="10" t="s">
        <v>1388</v>
      </c>
      <c r="C4" s="10" t="s">
        <v>1389</v>
      </c>
      <c r="D4" s="10" t="s">
        <v>77</v>
      </c>
      <c r="E4" s="10" t="s">
        <v>1124</v>
      </c>
      <c r="F4" s="10" t="s">
        <v>1125</v>
      </c>
      <c r="G4" s="10" t="s">
        <v>1390</v>
      </c>
      <c r="H4" s="10" t="s">
        <v>1391</v>
      </c>
      <c r="I4" s="10" t="s">
        <v>83</v>
      </c>
    </row>
    <row r="5" customFormat="false" ht="15" hidden="false" customHeight="false" outlineLevel="0" collapsed="false">
      <c r="A5" s="11" t="n">
        <v>1</v>
      </c>
      <c r="B5" s="11" t="s">
        <v>1392</v>
      </c>
      <c r="C5" s="11" t="s">
        <v>125</v>
      </c>
      <c r="D5" s="11" t="s">
        <v>120</v>
      </c>
      <c r="E5" s="11" t="s">
        <v>1287</v>
      </c>
      <c r="F5" s="11" t="s">
        <v>1175</v>
      </c>
      <c r="G5" s="11" t="n">
        <v>16</v>
      </c>
      <c r="H5" s="11" t="s">
        <v>72</v>
      </c>
      <c r="I5" s="12"/>
    </row>
    <row r="6" customFormat="false" ht="15" hidden="false" customHeight="false" outlineLevel="0" collapsed="false">
      <c r="A6" s="11" t="n">
        <v>2</v>
      </c>
      <c r="B6" s="11" t="s">
        <v>1393</v>
      </c>
      <c r="C6" s="11" t="s">
        <v>125</v>
      </c>
      <c r="D6" s="11" t="s">
        <v>120</v>
      </c>
      <c r="E6" s="11" t="s">
        <v>1300</v>
      </c>
      <c r="F6" s="11" t="s">
        <v>1175</v>
      </c>
      <c r="G6" s="11" t="n">
        <v>12</v>
      </c>
      <c r="H6" s="11" t="s">
        <v>72</v>
      </c>
      <c r="I6" s="12"/>
    </row>
    <row r="7" customFormat="false" ht="15" hidden="false" customHeight="false" outlineLevel="0" collapsed="false">
      <c r="A7" s="11" t="n">
        <v>4</v>
      </c>
      <c r="B7" s="11" t="s">
        <v>1394</v>
      </c>
      <c r="C7" s="11" t="s">
        <v>628</v>
      </c>
      <c r="D7" s="11" t="s">
        <v>1395</v>
      </c>
      <c r="E7" s="11" t="s">
        <v>1318</v>
      </c>
      <c r="F7" s="11" t="s">
        <v>1149</v>
      </c>
      <c r="G7" s="11" t="n">
        <v>36</v>
      </c>
      <c r="H7" s="11" t="s">
        <v>72</v>
      </c>
      <c r="I7" s="12"/>
    </row>
    <row r="8" customFormat="false" ht="15" hidden="false" customHeight="false" outlineLevel="0" collapsed="false">
      <c r="A8" s="11" t="n">
        <v>5</v>
      </c>
      <c r="B8" s="11" t="s">
        <v>1396</v>
      </c>
      <c r="C8" s="11" t="s">
        <v>628</v>
      </c>
      <c r="D8" s="11" t="s">
        <v>120</v>
      </c>
      <c r="E8" s="11" t="s">
        <v>1318</v>
      </c>
      <c r="F8" s="11" t="s">
        <v>1175</v>
      </c>
      <c r="G8" s="11" t="n">
        <v>35</v>
      </c>
      <c r="H8" s="11" t="s">
        <v>72</v>
      </c>
      <c r="I8" s="12"/>
    </row>
    <row r="9" customFormat="false" ht="15" hidden="false" customHeight="false" outlineLevel="0" collapsed="false">
      <c r="A9" s="11" t="n">
        <v>6</v>
      </c>
      <c r="B9" s="11" t="s">
        <v>1397</v>
      </c>
      <c r="C9" s="11" t="s">
        <v>125</v>
      </c>
      <c r="D9" s="11" t="s">
        <v>120</v>
      </c>
      <c r="E9" s="11" t="s">
        <v>1318</v>
      </c>
      <c r="F9" s="11" t="s">
        <v>1175</v>
      </c>
      <c r="G9" s="11" t="n">
        <v>35</v>
      </c>
      <c r="H9" s="11" t="s">
        <v>72</v>
      </c>
      <c r="I9" s="12"/>
    </row>
    <row r="10" customFormat="false" ht="15" hidden="false" customHeight="false" outlineLevel="0" collapsed="false">
      <c r="A10" s="11" t="n">
        <v>7</v>
      </c>
      <c r="B10" s="11" t="s">
        <v>1398</v>
      </c>
      <c r="C10" s="11" t="s">
        <v>125</v>
      </c>
      <c r="D10" s="11" t="s">
        <v>120</v>
      </c>
      <c r="E10" s="11" t="s">
        <v>1305</v>
      </c>
      <c r="F10" s="11" t="s">
        <v>1175</v>
      </c>
      <c r="G10" s="11" t="n">
        <v>75</v>
      </c>
      <c r="H10" s="11" t="s">
        <v>72</v>
      </c>
      <c r="I10" s="12"/>
    </row>
    <row r="11" customFormat="false" ht="15" hidden="false" customHeight="false" outlineLevel="0" collapsed="false">
      <c r="A11" s="11" t="n">
        <v>8</v>
      </c>
      <c r="B11" s="11" t="s">
        <v>1399</v>
      </c>
      <c r="C11" s="11" t="s">
        <v>628</v>
      </c>
      <c r="D11" s="11" t="s">
        <v>120</v>
      </c>
      <c r="E11" s="11" t="s">
        <v>1305</v>
      </c>
      <c r="F11" s="11" t="s">
        <v>1175</v>
      </c>
      <c r="G11" s="11" t="n">
        <v>75</v>
      </c>
      <c r="H11" s="11" t="s">
        <v>72</v>
      </c>
      <c r="I11" s="12"/>
    </row>
    <row r="12" customFormat="false" ht="15" hidden="false" customHeight="false" outlineLevel="0" collapsed="false">
      <c r="A12" s="11" t="n">
        <v>9</v>
      </c>
      <c r="B12" s="11" t="s">
        <v>1400</v>
      </c>
      <c r="C12" s="11" t="s">
        <v>628</v>
      </c>
      <c r="D12" s="11" t="s">
        <v>120</v>
      </c>
      <c r="E12" s="11" t="s">
        <v>1305</v>
      </c>
      <c r="F12" s="11" t="s">
        <v>1175</v>
      </c>
      <c r="G12" s="11" t="n">
        <v>75</v>
      </c>
      <c r="H12" s="11" t="s">
        <v>72</v>
      </c>
      <c r="I12" s="12"/>
    </row>
    <row r="13" customFormat="false" ht="15" hidden="false" customHeight="false" outlineLevel="0" collapsed="false">
      <c r="A13" s="11" t="n">
        <v>10</v>
      </c>
      <c r="B13" s="11" t="s">
        <v>1401</v>
      </c>
      <c r="C13" s="11" t="s">
        <v>125</v>
      </c>
      <c r="D13" s="11" t="s">
        <v>1395</v>
      </c>
      <c r="E13" s="11" t="s">
        <v>1318</v>
      </c>
      <c r="F13" s="11" t="s">
        <v>1149</v>
      </c>
      <c r="G13" s="11" t="n">
        <v>36</v>
      </c>
      <c r="H13" s="11" t="s">
        <v>72</v>
      </c>
      <c r="I13" s="12"/>
    </row>
    <row r="14" customFormat="false" ht="15" hidden="false" customHeight="false" outlineLevel="0" collapsed="false">
      <c r="A14" s="11" t="n">
        <v>11</v>
      </c>
      <c r="B14" s="11" t="s">
        <v>1402</v>
      </c>
      <c r="C14" s="11" t="s">
        <v>628</v>
      </c>
      <c r="D14" s="11" t="s">
        <v>120</v>
      </c>
      <c r="E14" s="11" t="s">
        <v>1287</v>
      </c>
      <c r="F14" s="11" t="s">
        <v>1175</v>
      </c>
      <c r="G14" s="11" t="n">
        <v>16</v>
      </c>
      <c r="H14" s="11" t="s">
        <v>72</v>
      </c>
      <c r="I14" s="12"/>
    </row>
    <row r="15" customFormat="false" ht="15" hidden="false" customHeight="false" outlineLevel="0" collapsed="false">
      <c r="A15" s="11" t="n">
        <v>12</v>
      </c>
      <c r="B15" s="11" t="s">
        <v>1403</v>
      </c>
      <c r="C15" s="11" t="s">
        <v>628</v>
      </c>
      <c r="D15" s="11" t="s">
        <v>1404</v>
      </c>
      <c r="E15" s="11" t="s">
        <v>1318</v>
      </c>
      <c r="F15" s="11" t="s">
        <v>1149</v>
      </c>
      <c r="G15" s="11" t="n">
        <v>36</v>
      </c>
      <c r="H15" s="11" t="s">
        <v>72</v>
      </c>
      <c r="I15" s="12"/>
    </row>
    <row r="16" customFormat="false" ht="15" hidden="false" customHeight="false" outlineLevel="0" collapsed="false">
      <c r="A16" s="11" t="n">
        <v>13</v>
      </c>
      <c r="B16" s="11" t="s">
        <v>1405</v>
      </c>
      <c r="C16" s="11" t="s">
        <v>125</v>
      </c>
      <c r="D16" s="11" t="s">
        <v>1404</v>
      </c>
      <c r="E16" s="11" t="s">
        <v>1318</v>
      </c>
      <c r="F16" s="11" t="s">
        <v>1149</v>
      </c>
      <c r="G16" s="11" t="n">
        <v>36</v>
      </c>
      <c r="H16" s="11" t="s">
        <v>72</v>
      </c>
      <c r="I16" s="12"/>
    </row>
    <row r="17" customFormat="false" ht="15" hidden="false" customHeight="false" outlineLevel="0" collapsed="false">
      <c r="A17" s="11" t="n">
        <v>14</v>
      </c>
      <c r="B17" s="11" t="s">
        <v>1406</v>
      </c>
      <c r="C17" s="11" t="s">
        <v>125</v>
      </c>
      <c r="D17" s="11" t="s">
        <v>120</v>
      </c>
      <c r="E17" s="11" t="s">
        <v>1305</v>
      </c>
      <c r="F17" s="11" t="s">
        <v>1175</v>
      </c>
      <c r="G17" s="11" t="n">
        <v>75</v>
      </c>
      <c r="H17" s="11" t="s">
        <v>72</v>
      </c>
      <c r="I17" s="12"/>
    </row>
    <row r="18" customFormat="false" ht="15" hidden="false" customHeight="false" outlineLevel="0" collapsed="false">
      <c r="A18" s="11" t="n">
        <v>16</v>
      </c>
      <c r="B18" s="11" t="s">
        <v>1407</v>
      </c>
      <c r="C18" s="11" t="s">
        <v>628</v>
      </c>
      <c r="D18" s="11" t="s">
        <v>120</v>
      </c>
      <c r="E18" s="11" t="s">
        <v>1282</v>
      </c>
      <c r="F18" s="11" t="s">
        <v>1175</v>
      </c>
      <c r="G18" s="11" t="n">
        <v>55</v>
      </c>
      <c r="H18" s="11" t="s">
        <v>72</v>
      </c>
      <c r="I18" s="12"/>
    </row>
    <row r="19" customFormat="false" ht="15" hidden="false" customHeight="false" outlineLevel="0" collapsed="false">
      <c r="A19" s="11" t="n">
        <v>17</v>
      </c>
      <c r="B19" s="11" t="s">
        <v>1408</v>
      </c>
      <c r="C19" s="11" t="s">
        <v>125</v>
      </c>
      <c r="D19" s="11" t="s">
        <v>120</v>
      </c>
      <c r="E19" s="11" t="s">
        <v>1282</v>
      </c>
      <c r="F19" s="11" t="s">
        <v>1175</v>
      </c>
      <c r="G19" s="11" t="n">
        <v>55</v>
      </c>
      <c r="H19" s="11" t="s">
        <v>72</v>
      </c>
      <c r="I19" s="12"/>
    </row>
    <row r="20" customFormat="false" ht="15" hidden="false" customHeight="false" outlineLevel="0" collapsed="false">
      <c r="A20" s="11" t="n">
        <v>20</v>
      </c>
      <c r="B20" s="11" t="s">
        <v>1409</v>
      </c>
      <c r="C20" s="11" t="s">
        <v>628</v>
      </c>
      <c r="D20" s="11" t="s">
        <v>120</v>
      </c>
      <c r="E20" s="11" t="s">
        <v>1300</v>
      </c>
      <c r="F20" s="11" t="s">
        <v>1175</v>
      </c>
      <c r="G20" s="11" t="n">
        <v>12</v>
      </c>
      <c r="H20" s="11" t="s">
        <v>72</v>
      </c>
      <c r="I20" s="12"/>
    </row>
    <row r="21" customFormat="false" ht="15" hidden="false" customHeight="false" outlineLevel="0" collapsed="false">
      <c r="A21" s="11" t="n">
        <v>22</v>
      </c>
      <c r="B21" s="11" t="s">
        <v>1410</v>
      </c>
      <c r="C21" s="11"/>
      <c r="D21" s="11" t="s">
        <v>120</v>
      </c>
      <c r="E21" s="11" t="s">
        <v>1282</v>
      </c>
      <c r="F21" s="11" t="s">
        <v>1175</v>
      </c>
      <c r="G21" s="11" t="n">
        <v>55</v>
      </c>
      <c r="H21" s="11" t="s">
        <v>72</v>
      </c>
      <c r="I21" s="12"/>
    </row>
    <row r="22" customFormat="false" ht="15" hidden="false" customHeight="false" outlineLevel="0" collapsed="false">
      <c r="A22" s="11" t="n">
        <v>24</v>
      </c>
      <c r="B22" s="11" t="s">
        <v>1411</v>
      </c>
      <c r="C22" s="11" t="s">
        <v>125</v>
      </c>
      <c r="D22" s="11" t="s">
        <v>1404</v>
      </c>
      <c r="E22" s="11" t="s">
        <v>1284</v>
      </c>
      <c r="F22" s="11" t="s">
        <v>1149</v>
      </c>
      <c r="G22" s="11" t="n">
        <v>29</v>
      </c>
      <c r="H22" s="11" t="s">
        <v>72</v>
      </c>
      <c r="I22" s="12"/>
    </row>
    <row r="23" customFormat="false" ht="15" hidden="false" customHeight="false" outlineLevel="0" collapsed="false">
      <c r="A23" s="11" t="n">
        <v>25</v>
      </c>
      <c r="B23" s="11" t="s">
        <v>1412</v>
      </c>
      <c r="C23" s="11" t="s">
        <v>628</v>
      </c>
      <c r="D23" s="11" t="s">
        <v>120</v>
      </c>
      <c r="E23" s="11" t="s">
        <v>1315</v>
      </c>
      <c r="F23" s="11" t="s">
        <v>1135</v>
      </c>
      <c r="G23" s="11" t="n">
        <v>35</v>
      </c>
      <c r="H23" s="11" t="s">
        <v>72</v>
      </c>
      <c r="I23" s="12"/>
    </row>
    <row r="24" customFormat="false" ht="15" hidden="false" customHeight="false" outlineLevel="0" collapsed="false">
      <c r="A24" s="11" t="n">
        <v>26</v>
      </c>
      <c r="B24" s="11" t="s">
        <v>1413</v>
      </c>
      <c r="C24" s="11" t="s">
        <v>125</v>
      </c>
      <c r="D24" s="11" t="s">
        <v>120</v>
      </c>
      <c r="E24" s="11" t="s">
        <v>1315</v>
      </c>
      <c r="F24" s="11" t="s">
        <v>1135</v>
      </c>
      <c r="G24" s="11" t="n">
        <v>35</v>
      </c>
      <c r="H24" s="11" t="s">
        <v>72</v>
      </c>
      <c r="I24" s="12"/>
    </row>
    <row r="25" customFormat="false" ht="15" hidden="false" customHeight="false" outlineLevel="0" collapsed="false">
      <c r="A25" s="11" t="n">
        <v>27</v>
      </c>
      <c r="B25" s="11" t="s">
        <v>1414</v>
      </c>
      <c r="C25" s="11"/>
      <c r="D25" s="11" t="s">
        <v>1395</v>
      </c>
      <c r="E25" s="11" t="s">
        <v>1303</v>
      </c>
      <c r="F25" s="11" t="s">
        <v>1135</v>
      </c>
      <c r="G25" s="11" t="n">
        <v>5</v>
      </c>
      <c r="H25" s="11" t="s">
        <v>72</v>
      </c>
      <c r="I25" s="12"/>
    </row>
    <row r="26" customFormat="false" ht="15" hidden="false" customHeight="false" outlineLevel="0" collapsed="false">
      <c r="A26" s="11" t="n">
        <v>28</v>
      </c>
      <c r="B26" s="11" t="s">
        <v>1415</v>
      </c>
      <c r="C26" s="11"/>
      <c r="D26" s="11" t="s">
        <v>1404</v>
      </c>
      <c r="E26" s="11" t="s">
        <v>1335</v>
      </c>
      <c r="F26" s="11" t="s">
        <v>1135</v>
      </c>
      <c r="G26" s="11" t="n">
        <v>31</v>
      </c>
      <c r="H26" s="11" t="s">
        <v>72</v>
      </c>
      <c r="I26" s="12"/>
    </row>
    <row r="27" customFormat="false" ht="15" hidden="false" customHeight="false" outlineLevel="0" collapsed="false">
      <c r="A27" s="11" t="n">
        <v>29</v>
      </c>
      <c r="B27" s="11" t="s">
        <v>1416</v>
      </c>
      <c r="C27" s="11"/>
      <c r="D27" s="11" t="s">
        <v>1404</v>
      </c>
      <c r="E27" s="11" t="s">
        <v>1309</v>
      </c>
      <c r="F27" s="11" t="s">
        <v>1291</v>
      </c>
      <c r="G27" s="11" t="n">
        <v>27</v>
      </c>
      <c r="H27" s="11" t="s">
        <v>72</v>
      </c>
      <c r="I27" s="12"/>
    </row>
    <row r="28" customFormat="false" ht="15" hidden="false" customHeight="false" outlineLevel="0" collapsed="false">
      <c r="A28" s="11" t="n">
        <v>30</v>
      </c>
      <c r="B28" s="11" t="s">
        <v>1417</v>
      </c>
      <c r="C28" s="11"/>
      <c r="D28" s="11" t="s">
        <v>1404</v>
      </c>
      <c r="E28" s="11" t="s">
        <v>1337</v>
      </c>
      <c r="F28" s="11" t="s">
        <v>1149</v>
      </c>
      <c r="G28" s="11" t="n">
        <v>30</v>
      </c>
      <c r="H28" s="11" t="s">
        <v>72</v>
      </c>
      <c r="I28" s="12"/>
    </row>
    <row r="29" customFormat="false" ht="23.85" hidden="false" customHeight="false" outlineLevel="0" collapsed="false">
      <c r="A29" s="11" t="n">
        <v>31</v>
      </c>
      <c r="B29" s="11" t="s">
        <v>1418</v>
      </c>
      <c r="C29" s="11" t="s">
        <v>628</v>
      </c>
      <c r="D29" s="11" t="s">
        <v>120</v>
      </c>
      <c r="E29" s="11" t="s">
        <v>1282</v>
      </c>
      <c r="F29" s="11" t="s">
        <v>1175</v>
      </c>
      <c r="G29" s="11" t="n">
        <v>55</v>
      </c>
      <c r="H29" s="11" t="s">
        <v>72</v>
      </c>
      <c r="I29" s="12"/>
    </row>
    <row r="30" customFormat="false" ht="23.85" hidden="false" customHeight="false" outlineLevel="0" collapsed="false">
      <c r="A30" s="11" t="n">
        <v>32</v>
      </c>
      <c r="B30" s="11" t="s">
        <v>1419</v>
      </c>
      <c r="C30" s="11" t="s">
        <v>628</v>
      </c>
      <c r="D30" s="11" t="s">
        <v>120</v>
      </c>
      <c r="E30" s="11" t="s">
        <v>1290</v>
      </c>
      <c r="F30" s="11" t="s">
        <v>1291</v>
      </c>
      <c r="G30" s="11" t="n">
        <v>55</v>
      </c>
      <c r="H30" s="11" t="s">
        <v>72</v>
      </c>
      <c r="I30" s="12"/>
    </row>
    <row r="31" customFormat="false" ht="23.85" hidden="false" customHeight="false" outlineLevel="0" collapsed="false">
      <c r="A31" s="11" t="n">
        <v>33</v>
      </c>
      <c r="B31" s="11" t="s">
        <v>1420</v>
      </c>
      <c r="C31" s="11" t="s">
        <v>628</v>
      </c>
      <c r="D31" s="11" t="s">
        <v>1404</v>
      </c>
      <c r="E31" s="11" t="s">
        <v>1296</v>
      </c>
      <c r="F31" s="11" t="s">
        <v>1135</v>
      </c>
      <c r="G31" s="11" t="n">
        <v>34</v>
      </c>
      <c r="H31" s="11" t="s">
        <v>72</v>
      </c>
      <c r="I31" s="12"/>
    </row>
    <row r="32" customFormat="false" ht="15" hidden="false" customHeight="false" outlineLevel="0" collapsed="false">
      <c r="A32" s="11" t="n">
        <v>34</v>
      </c>
      <c r="B32" s="11" t="s">
        <v>1421</v>
      </c>
      <c r="C32" s="11"/>
      <c r="D32" s="11" t="s">
        <v>1404</v>
      </c>
      <c r="E32" s="11" t="s">
        <v>1311</v>
      </c>
      <c r="F32" s="11" t="s">
        <v>1135</v>
      </c>
      <c r="G32" s="11" t="n">
        <v>33</v>
      </c>
      <c r="H32" s="11" t="s">
        <v>72</v>
      </c>
      <c r="I32" s="12"/>
    </row>
    <row r="33" customFormat="false" ht="23.85" hidden="false" customHeight="false" outlineLevel="0" collapsed="false">
      <c r="A33" s="11" t="n">
        <v>35</v>
      </c>
      <c r="B33" s="11" t="s">
        <v>1422</v>
      </c>
      <c r="C33" s="11" t="s">
        <v>628</v>
      </c>
      <c r="D33" s="11" t="s">
        <v>1404</v>
      </c>
      <c r="E33" s="11" t="s">
        <v>1294</v>
      </c>
      <c r="F33" s="11" t="s">
        <v>1135</v>
      </c>
      <c r="G33" s="11" t="n">
        <v>18</v>
      </c>
      <c r="H33" s="11" t="s">
        <v>72</v>
      </c>
      <c r="I33" s="12"/>
    </row>
    <row r="34" customFormat="false" ht="15" hidden="false" customHeight="false" outlineLevel="0" collapsed="false">
      <c r="A34" s="11" t="n">
        <v>36</v>
      </c>
      <c r="B34" s="11" t="s">
        <v>1423</v>
      </c>
      <c r="C34" s="11" t="s">
        <v>628</v>
      </c>
      <c r="D34" s="11" t="s">
        <v>1404</v>
      </c>
      <c r="E34" s="11" t="s">
        <v>1332</v>
      </c>
      <c r="F34" s="11" t="s">
        <v>1135</v>
      </c>
      <c r="G34" s="11" t="n">
        <v>60</v>
      </c>
      <c r="H34" s="11" t="s">
        <v>72</v>
      </c>
      <c r="I34" s="12"/>
    </row>
    <row r="35" customFormat="false" ht="15" hidden="false" customHeight="false" outlineLevel="0" collapsed="false">
      <c r="A35" s="11" t="n">
        <v>37</v>
      </c>
      <c r="B35" s="11" t="s">
        <v>1424</v>
      </c>
      <c r="C35" s="11"/>
      <c r="D35" s="11" t="s">
        <v>1404</v>
      </c>
      <c r="E35" s="11" t="s">
        <v>1135</v>
      </c>
      <c r="F35" s="11" t="s">
        <v>1135</v>
      </c>
      <c r="G35" s="11" t="n">
        <v>1</v>
      </c>
      <c r="H35" s="11" t="s">
        <v>72</v>
      </c>
      <c r="I35" s="12"/>
    </row>
    <row r="36" customFormat="false" ht="15" hidden="false" customHeight="false" outlineLevel="0" collapsed="false">
      <c r="A36" s="11" t="n">
        <v>40</v>
      </c>
      <c r="B36" s="11" t="s">
        <v>1425</v>
      </c>
      <c r="C36" s="11"/>
      <c r="D36" s="11" t="s">
        <v>1404</v>
      </c>
      <c r="E36" s="11" t="s">
        <v>1284</v>
      </c>
      <c r="F36" s="11" t="s">
        <v>1149</v>
      </c>
      <c r="G36" s="11" t="n">
        <v>29</v>
      </c>
      <c r="H36" s="11" t="s">
        <v>72</v>
      </c>
      <c r="I36" s="12"/>
    </row>
    <row r="37" customFormat="false" ht="15" hidden="false" customHeight="false" outlineLevel="0" collapsed="false">
      <c r="A37" s="11" t="n">
        <v>42</v>
      </c>
      <c r="B37" s="11" t="s">
        <v>1426</v>
      </c>
      <c r="C37" s="11" t="s">
        <v>628</v>
      </c>
      <c r="D37" s="11" t="s">
        <v>1404</v>
      </c>
      <c r="E37" s="11" t="s">
        <v>1284</v>
      </c>
      <c r="F37" s="11" t="s">
        <v>1149</v>
      </c>
      <c r="G37" s="11" t="n">
        <v>29</v>
      </c>
      <c r="H37" s="11" t="s">
        <v>72</v>
      </c>
      <c r="I37" s="12"/>
    </row>
    <row r="38" customFormat="false" ht="15" hidden="false" customHeight="false" outlineLevel="0" collapsed="false">
      <c r="A38" s="11" t="n">
        <v>43</v>
      </c>
      <c r="B38" s="11" t="s">
        <v>1427</v>
      </c>
      <c r="C38" s="11" t="s">
        <v>125</v>
      </c>
      <c r="D38" s="11" t="s">
        <v>120</v>
      </c>
      <c r="E38" s="11" t="s">
        <v>1287</v>
      </c>
      <c r="F38" s="11" t="s">
        <v>1175</v>
      </c>
      <c r="G38" s="11" t="n">
        <v>16</v>
      </c>
      <c r="H38" s="11" t="s">
        <v>72</v>
      </c>
      <c r="I38" s="12"/>
    </row>
    <row r="39" customFormat="false" ht="15" hidden="false" customHeight="false" outlineLevel="0" collapsed="false">
      <c r="A39" s="11" t="n">
        <v>44</v>
      </c>
      <c r="B39" s="11" t="s">
        <v>1428</v>
      </c>
      <c r="C39" s="11" t="s">
        <v>628</v>
      </c>
      <c r="D39" s="11" t="s">
        <v>120</v>
      </c>
      <c r="E39" s="11" t="s">
        <v>1287</v>
      </c>
      <c r="F39" s="11" t="s">
        <v>1175</v>
      </c>
      <c r="G39" s="11" t="n">
        <v>16</v>
      </c>
      <c r="H39" s="11" t="s">
        <v>72</v>
      </c>
      <c r="I39" s="12"/>
    </row>
    <row r="40" customFormat="false" ht="15" hidden="false" customHeight="false" outlineLevel="0" collapsed="false">
      <c r="A40" s="11" t="n">
        <v>45</v>
      </c>
      <c r="B40" s="11" t="s">
        <v>1429</v>
      </c>
      <c r="C40" s="11" t="s">
        <v>125</v>
      </c>
      <c r="D40" s="11" t="s">
        <v>120</v>
      </c>
      <c r="E40" s="11" t="s">
        <v>1287</v>
      </c>
      <c r="F40" s="11" t="s">
        <v>1175</v>
      </c>
      <c r="G40" s="11" t="n">
        <v>16</v>
      </c>
      <c r="H40" s="11" t="s">
        <v>72</v>
      </c>
      <c r="I40" s="12"/>
    </row>
    <row r="41" customFormat="false" ht="15" hidden="false" customHeight="false" outlineLevel="0" collapsed="false">
      <c r="A41" s="11" t="n">
        <v>46</v>
      </c>
      <c r="B41" s="11" t="s">
        <v>1430</v>
      </c>
      <c r="C41" s="11" t="s">
        <v>628</v>
      </c>
      <c r="D41" s="11" t="s">
        <v>120</v>
      </c>
      <c r="E41" s="11" t="s">
        <v>1287</v>
      </c>
      <c r="F41" s="11" t="s">
        <v>1175</v>
      </c>
      <c r="G41" s="11" t="n">
        <v>16</v>
      </c>
      <c r="H41" s="11" t="s">
        <v>72</v>
      </c>
      <c r="I41" s="12"/>
    </row>
    <row r="42" customFormat="false" ht="15" hidden="false" customHeight="false" outlineLevel="0" collapsed="false">
      <c r="A42" s="11" t="n">
        <v>47</v>
      </c>
      <c r="B42" s="11" t="s">
        <v>1431</v>
      </c>
      <c r="C42" s="11"/>
      <c r="D42" s="11" t="s">
        <v>1404</v>
      </c>
      <c r="E42" s="11" t="s">
        <v>1307</v>
      </c>
      <c r="F42" s="11" t="s">
        <v>1135</v>
      </c>
      <c r="G42" s="11" t="n">
        <v>36</v>
      </c>
      <c r="H42" s="11" t="s">
        <v>72</v>
      </c>
      <c r="I42" s="12"/>
    </row>
    <row r="43" customFormat="false" ht="15" hidden="false" customHeight="false" outlineLevel="0" collapsed="false">
      <c r="A43" s="11" t="n">
        <v>48</v>
      </c>
      <c r="B43" s="11" t="s">
        <v>1432</v>
      </c>
      <c r="C43" s="11"/>
      <c r="D43" s="11" t="s">
        <v>120</v>
      </c>
      <c r="E43" s="11" t="s">
        <v>1305</v>
      </c>
      <c r="F43" s="11" t="s">
        <v>1175</v>
      </c>
      <c r="G43" s="11" t="n">
        <v>75</v>
      </c>
      <c r="H43" s="11" t="s">
        <v>72</v>
      </c>
      <c r="I43" s="12"/>
    </row>
  </sheetData>
  <dataValidations count="1">
    <dataValidation allowBlank="true" errorStyle="stop" operator="between" showDropDown="false" showErrorMessage="false" showInputMessage="false" sqref="I5:I43" type="list">
      <formula1>"Include,Later,Skip"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6" min="4" style="0" width="13"/>
  </cols>
  <sheetData>
    <row r="1" customFormat="false" ht="17.35" hidden="false" customHeight="false" outlineLevel="0" collapsed="false">
      <c r="A1" s="1" t="s">
        <v>1433</v>
      </c>
    </row>
    <row r="2" customFormat="false" ht="15" hidden="false" customHeight="false" outlineLevel="0" collapsed="false">
      <c r="A2" s="5" t="s">
        <v>1434</v>
      </c>
    </row>
    <row r="4" customFormat="false" ht="30" hidden="false" customHeight="true" outlineLevel="0" collapsed="false">
      <c r="A4" s="10" t="s">
        <v>1435</v>
      </c>
      <c r="B4" s="10" t="s">
        <v>1368</v>
      </c>
      <c r="C4" s="10" t="s">
        <v>22</v>
      </c>
      <c r="D4" s="10" t="s">
        <v>1436</v>
      </c>
      <c r="E4" s="10" t="s">
        <v>1437</v>
      </c>
      <c r="F4" s="10" t="s">
        <v>83</v>
      </c>
    </row>
    <row r="5" customFormat="false" ht="15" hidden="false" customHeight="false" outlineLevel="0" collapsed="false">
      <c r="A5" s="11" t="s">
        <v>1438</v>
      </c>
      <c r="B5" s="11" t="s">
        <v>1439</v>
      </c>
      <c r="C5" s="11" t="s">
        <v>1440</v>
      </c>
      <c r="D5" s="12" t="s">
        <v>1441</v>
      </c>
      <c r="E5" s="13" t="n">
        <v>39342</v>
      </c>
      <c r="F5" s="12"/>
    </row>
    <row r="6" customFormat="false" ht="15" hidden="false" customHeight="false" outlineLevel="0" collapsed="false">
      <c r="A6" s="11" t="s">
        <v>1442</v>
      </c>
      <c r="B6" s="11" t="s">
        <v>1443</v>
      </c>
      <c r="C6" s="11" t="s">
        <v>1440</v>
      </c>
      <c r="D6" s="12" t="s">
        <v>1441</v>
      </c>
      <c r="E6" s="13" t="n">
        <v>35612</v>
      </c>
      <c r="F6" s="12"/>
    </row>
    <row r="7" customFormat="false" ht="15" hidden="false" customHeight="false" outlineLevel="0" collapsed="false">
      <c r="A7" s="11" t="s">
        <v>1444</v>
      </c>
      <c r="B7" s="11" t="s">
        <v>1445</v>
      </c>
      <c r="C7" s="11" t="s">
        <v>1446</v>
      </c>
      <c r="D7" s="12" t="s">
        <v>1441</v>
      </c>
      <c r="E7" s="13" t="n">
        <v>39342</v>
      </c>
      <c r="F7" s="12"/>
    </row>
    <row r="8" customFormat="false" ht="15" hidden="false" customHeight="false" outlineLevel="0" collapsed="false">
      <c r="A8" s="11" t="s">
        <v>1447</v>
      </c>
      <c r="B8" s="11" t="s">
        <v>1448</v>
      </c>
      <c r="C8" s="11" t="s">
        <v>1446</v>
      </c>
      <c r="D8" s="12" t="s">
        <v>1441</v>
      </c>
      <c r="E8" s="13" t="n">
        <v>39342</v>
      </c>
      <c r="F8" s="12"/>
    </row>
    <row r="9" customFormat="false" ht="15" hidden="false" customHeight="false" outlineLevel="0" collapsed="false">
      <c r="A9" s="11" t="s">
        <v>1449</v>
      </c>
      <c r="B9" s="11" t="s">
        <v>1450</v>
      </c>
      <c r="C9" s="11" t="s">
        <v>1446</v>
      </c>
      <c r="D9" s="12" t="s">
        <v>1441</v>
      </c>
      <c r="E9" s="13" t="n">
        <v>40736</v>
      </c>
      <c r="F9" s="12"/>
    </row>
    <row r="10" customFormat="false" ht="15" hidden="false" customHeight="false" outlineLevel="0" collapsed="false">
      <c r="A10" s="11" t="s">
        <v>1451</v>
      </c>
      <c r="B10" s="11" t="s">
        <v>1452</v>
      </c>
      <c r="C10" s="11" t="s">
        <v>1446</v>
      </c>
      <c r="D10" s="12" t="s">
        <v>1441</v>
      </c>
      <c r="E10" s="13" t="n">
        <v>40574</v>
      </c>
      <c r="F10" s="12"/>
    </row>
    <row r="11" customFormat="false" ht="15" hidden="false" customHeight="false" outlineLevel="0" collapsed="false">
      <c r="A11" s="11" t="s">
        <v>1453</v>
      </c>
      <c r="B11" s="11" t="s">
        <v>1454</v>
      </c>
      <c r="C11" s="11" t="s">
        <v>1446</v>
      </c>
      <c r="D11" s="12" t="s">
        <v>1441</v>
      </c>
      <c r="E11" s="13" t="n">
        <v>40574</v>
      </c>
      <c r="F11" s="12"/>
    </row>
    <row r="12" customFormat="false" ht="15" hidden="false" customHeight="false" outlineLevel="0" collapsed="false">
      <c r="A12" s="11" t="s">
        <v>1455</v>
      </c>
      <c r="B12" s="11" t="s">
        <v>1456</v>
      </c>
      <c r="C12" s="11" t="s">
        <v>1446</v>
      </c>
      <c r="D12" s="12" t="s">
        <v>1441</v>
      </c>
      <c r="E12" s="13" t="n">
        <v>40736</v>
      </c>
      <c r="F12" s="12"/>
    </row>
    <row r="13" customFormat="false" ht="15" hidden="false" customHeight="false" outlineLevel="0" collapsed="false">
      <c r="A13" s="11" t="s">
        <v>1457</v>
      </c>
      <c r="B13" s="11" t="s">
        <v>1458</v>
      </c>
      <c r="C13" s="11" t="s">
        <v>1446</v>
      </c>
      <c r="D13" s="12" t="s">
        <v>1441</v>
      </c>
      <c r="E13" s="13" t="n">
        <v>40378</v>
      </c>
      <c r="F13" s="12"/>
    </row>
    <row r="14" customFormat="false" ht="15" hidden="false" customHeight="false" outlineLevel="0" collapsed="false">
      <c r="A14" s="11" t="s">
        <v>1459</v>
      </c>
      <c r="B14" s="11" t="s">
        <v>1460</v>
      </c>
      <c r="C14" s="11" t="s">
        <v>1446</v>
      </c>
      <c r="D14" s="12" t="s">
        <v>1441</v>
      </c>
      <c r="E14" s="13" t="n">
        <v>40574</v>
      </c>
      <c r="F14" s="12"/>
    </row>
    <row r="15" customFormat="false" ht="15" hidden="false" customHeight="false" outlineLevel="0" collapsed="false">
      <c r="A15" s="11" t="s">
        <v>1461</v>
      </c>
      <c r="B15" s="11" t="s">
        <v>1462</v>
      </c>
      <c r="C15" s="11" t="s">
        <v>1446</v>
      </c>
      <c r="D15" s="12" t="s">
        <v>1441</v>
      </c>
      <c r="E15" s="13" t="n">
        <v>40574</v>
      </c>
      <c r="F15" s="12"/>
    </row>
    <row r="16" customFormat="false" ht="15" hidden="false" customHeight="false" outlineLevel="0" collapsed="false">
      <c r="A16" s="11" t="s">
        <v>1463</v>
      </c>
      <c r="B16" s="11" t="s">
        <v>1464</v>
      </c>
      <c r="C16" s="11" t="s">
        <v>1446</v>
      </c>
      <c r="D16" s="12" t="s">
        <v>1441</v>
      </c>
      <c r="E16" s="13" t="n">
        <v>40378</v>
      </c>
      <c r="F16" s="12"/>
    </row>
    <row r="17" customFormat="false" ht="15" hidden="false" customHeight="false" outlineLevel="0" collapsed="false">
      <c r="A17" s="11" t="s">
        <v>1465</v>
      </c>
      <c r="B17" s="11" t="s">
        <v>1466</v>
      </c>
      <c r="C17" s="11" t="s">
        <v>1446</v>
      </c>
      <c r="D17" s="12" t="s">
        <v>1441</v>
      </c>
      <c r="E17" s="13" t="n">
        <v>40759</v>
      </c>
      <c r="F17" s="12"/>
    </row>
    <row r="18" customFormat="false" ht="15" hidden="false" customHeight="false" outlineLevel="0" collapsed="false">
      <c r="A18" s="11" t="s">
        <v>1467</v>
      </c>
      <c r="B18" s="11" t="s">
        <v>1468</v>
      </c>
      <c r="C18" s="11" t="s">
        <v>1469</v>
      </c>
      <c r="D18" s="12" t="s">
        <v>1441</v>
      </c>
      <c r="E18" s="13" t="n">
        <v>39349</v>
      </c>
      <c r="F18" s="12"/>
    </row>
    <row r="19" customFormat="false" ht="35.05" hidden="false" customHeight="false" outlineLevel="0" collapsed="false">
      <c r="A19" s="11" t="s">
        <v>1470</v>
      </c>
      <c r="B19" s="11" t="s">
        <v>1471</v>
      </c>
      <c r="C19" s="11" t="s">
        <v>1469</v>
      </c>
      <c r="D19" s="12" t="s">
        <v>1472</v>
      </c>
      <c r="E19" s="13"/>
      <c r="F19" s="12" t="s">
        <v>1473</v>
      </c>
    </row>
    <row r="20" customFormat="false" ht="15" hidden="false" customHeight="false" outlineLevel="0" collapsed="false">
      <c r="A20" s="11" t="s">
        <v>1474</v>
      </c>
      <c r="B20" s="11" t="s">
        <v>1475</v>
      </c>
      <c r="C20" s="11" t="s">
        <v>1469</v>
      </c>
      <c r="D20" s="12" t="s">
        <v>1441</v>
      </c>
      <c r="E20" s="13" t="n">
        <v>38621</v>
      </c>
      <c r="F20" s="12"/>
    </row>
    <row r="21" customFormat="false" ht="15" hidden="false" customHeight="false" outlineLevel="0" collapsed="false">
      <c r="A21" s="11" t="s">
        <v>1476</v>
      </c>
      <c r="B21" s="11" t="s">
        <v>556</v>
      </c>
      <c r="C21" s="11" t="s">
        <v>1477</v>
      </c>
      <c r="D21" s="12" t="s">
        <v>1441</v>
      </c>
      <c r="E21" s="13" t="n">
        <v>39510</v>
      </c>
      <c r="F21" s="12"/>
    </row>
    <row r="22" customFormat="false" ht="15" hidden="false" customHeight="false" outlineLevel="0" collapsed="false">
      <c r="A22" s="11" t="s">
        <v>1478</v>
      </c>
      <c r="B22" s="11" t="s">
        <v>1479</v>
      </c>
      <c r="C22" s="11" t="s">
        <v>1480</v>
      </c>
      <c r="D22" s="12" t="s">
        <v>1441</v>
      </c>
      <c r="E22" s="13" t="n">
        <v>39815</v>
      </c>
      <c r="F22" s="12"/>
    </row>
    <row r="23" customFormat="false" ht="15" hidden="false" customHeight="false" outlineLevel="0" collapsed="false">
      <c r="A23" s="11" t="s">
        <v>1481</v>
      </c>
      <c r="B23" s="11" t="s">
        <v>1482</v>
      </c>
      <c r="C23" s="11" t="s">
        <v>1480</v>
      </c>
      <c r="D23" s="12" t="s">
        <v>1441</v>
      </c>
      <c r="E23" s="13" t="n">
        <v>39815</v>
      </c>
      <c r="F23" s="12"/>
    </row>
    <row r="24" customFormat="false" ht="15" hidden="false" customHeight="false" outlineLevel="0" collapsed="false">
      <c r="A24" s="11" t="s">
        <v>1483</v>
      </c>
      <c r="B24" s="11" t="s">
        <v>1484</v>
      </c>
      <c r="C24" s="11" t="s">
        <v>1485</v>
      </c>
      <c r="D24" s="12" t="s">
        <v>1441</v>
      </c>
      <c r="E24" s="13" t="n">
        <v>35065</v>
      </c>
      <c r="F24" s="12"/>
    </row>
    <row r="25" customFormat="false" ht="15" hidden="false" customHeight="false" outlineLevel="0" collapsed="false">
      <c r="A25" s="11" t="s">
        <v>1486</v>
      </c>
      <c r="B25" s="11" t="s">
        <v>1487</v>
      </c>
      <c r="C25" s="11" t="s">
        <v>1485</v>
      </c>
      <c r="D25" s="12" t="s">
        <v>1441</v>
      </c>
      <c r="E25" s="13" t="n">
        <v>35065</v>
      </c>
      <c r="F25" s="12"/>
    </row>
    <row r="26" customFormat="false" ht="15" hidden="false" customHeight="false" outlineLevel="0" collapsed="false">
      <c r="A26" s="11" t="s">
        <v>1488</v>
      </c>
      <c r="B26" s="11" t="s">
        <v>1489</v>
      </c>
      <c r="C26" s="11" t="s">
        <v>1485</v>
      </c>
      <c r="D26" s="12" t="s">
        <v>1441</v>
      </c>
      <c r="E26" s="13" t="n">
        <v>34890</v>
      </c>
      <c r="F26" s="12"/>
    </row>
    <row r="27" customFormat="false" ht="15" hidden="false" customHeight="false" outlineLevel="0" collapsed="false">
      <c r="A27" s="11" t="s">
        <v>1490</v>
      </c>
      <c r="B27" s="11" t="s">
        <v>1491</v>
      </c>
      <c r="C27" s="11" t="s">
        <v>1389</v>
      </c>
      <c r="D27" s="12" t="s">
        <v>1441</v>
      </c>
      <c r="E27" s="13" t="n">
        <v>37956</v>
      </c>
      <c r="F27" s="12"/>
    </row>
    <row r="28" customFormat="false" ht="15" hidden="false" customHeight="false" outlineLevel="0" collapsed="false">
      <c r="A28" s="11" t="s">
        <v>1492</v>
      </c>
      <c r="B28" s="11" t="s">
        <v>1493</v>
      </c>
      <c r="C28" s="11" t="s">
        <v>1389</v>
      </c>
      <c r="D28" s="12" t="s">
        <v>1441</v>
      </c>
      <c r="E28" s="13" t="n">
        <v>37956</v>
      </c>
      <c r="F28" s="12"/>
    </row>
    <row r="29" customFormat="false" ht="15" hidden="false" customHeight="false" outlineLevel="0" collapsed="false">
      <c r="A29" s="11" t="s">
        <v>1494</v>
      </c>
      <c r="B29" s="11" t="s">
        <v>1495</v>
      </c>
      <c r="C29" s="11" t="s">
        <v>1389</v>
      </c>
      <c r="D29" s="12" t="s">
        <v>1441</v>
      </c>
      <c r="E29" s="13" t="n">
        <v>38853</v>
      </c>
      <c r="F29" s="12"/>
    </row>
    <row r="30" customFormat="false" ht="15" hidden="false" customHeight="false" outlineLevel="0" collapsed="false">
      <c r="A30" s="11" t="s">
        <v>1496</v>
      </c>
      <c r="B30" s="11" t="s">
        <v>1497</v>
      </c>
      <c r="C30" s="11" t="s">
        <v>1389</v>
      </c>
      <c r="D30" s="12" t="s">
        <v>1441</v>
      </c>
      <c r="E30" s="13" t="n">
        <v>37956</v>
      </c>
      <c r="F30" s="12"/>
    </row>
    <row r="31" customFormat="false" ht="23.85" hidden="false" customHeight="false" outlineLevel="0" collapsed="false">
      <c r="A31" s="11" t="s">
        <v>1498</v>
      </c>
      <c r="B31" s="11" t="s">
        <v>1499</v>
      </c>
      <c r="C31" s="11" t="s">
        <v>1389</v>
      </c>
      <c r="D31" s="12" t="s">
        <v>1472</v>
      </c>
      <c r="E31" s="13"/>
      <c r="F31" s="12" t="s">
        <v>1500</v>
      </c>
    </row>
    <row r="32" customFormat="false" ht="15" hidden="false" customHeight="false" outlineLevel="0" collapsed="false">
      <c r="A32" s="11" t="s">
        <v>1501</v>
      </c>
      <c r="B32" s="11" t="s">
        <v>1502</v>
      </c>
      <c r="C32" s="11" t="s">
        <v>1389</v>
      </c>
      <c r="D32" s="12" t="s">
        <v>1441</v>
      </c>
      <c r="E32" s="13" t="n">
        <v>38476</v>
      </c>
      <c r="F32" s="12"/>
    </row>
    <row r="33" customFormat="false" ht="15" hidden="false" customHeight="false" outlineLevel="0" collapsed="false">
      <c r="A33" s="11" t="s">
        <v>1503</v>
      </c>
      <c r="B33" s="11" t="s">
        <v>1504</v>
      </c>
      <c r="C33" s="11" t="s">
        <v>1505</v>
      </c>
      <c r="D33" s="12" t="s">
        <v>1441</v>
      </c>
      <c r="E33" s="13" t="n">
        <v>36768</v>
      </c>
      <c r="F33" s="12"/>
    </row>
    <row r="34" customFormat="false" ht="15" hidden="false" customHeight="false" outlineLevel="0" collapsed="false">
      <c r="A34" s="11" t="s">
        <v>1506</v>
      </c>
      <c r="B34" s="11" t="s">
        <v>1507</v>
      </c>
      <c r="C34" s="11" t="s">
        <v>1505</v>
      </c>
      <c r="D34" s="12" t="s">
        <v>1441</v>
      </c>
      <c r="E34" s="13" t="n">
        <v>36768</v>
      </c>
      <c r="F34" s="12"/>
    </row>
    <row r="35" customFormat="false" ht="15" hidden="false" customHeight="false" outlineLevel="0" collapsed="false">
      <c r="A35" s="11" t="s">
        <v>1508</v>
      </c>
      <c r="B35" s="11" t="s">
        <v>1509</v>
      </c>
      <c r="C35" s="11" t="s">
        <v>1505</v>
      </c>
      <c r="D35" s="12" t="s">
        <v>1441</v>
      </c>
      <c r="E35" s="13" t="n">
        <v>36761</v>
      </c>
      <c r="F35" s="12"/>
    </row>
    <row r="36" customFormat="false" ht="15" hidden="false" customHeight="false" outlineLevel="0" collapsed="false">
      <c r="A36" s="11" t="s">
        <v>1510</v>
      </c>
      <c r="B36" s="11" t="s">
        <v>1511</v>
      </c>
      <c r="C36" s="11" t="s">
        <v>1505</v>
      </c>
      <c r="D36" s="12" t="s">
        <v>1441</v>
      </c>
      <c r="E36" s="13" t="n">
        <v>39293</v>
      </c>
      <c r="F36" s="12"/>
    </row>
    <row r="37" customFormat="false" ht="15" hidden="false" customHeight="false" outlineLevel="0" collapsed="false">
      <c r="A37" s="11" t="s">
        <v>1512</v>
      </c>
      <c r="B37" s="11" t="s">
        <v>1513</v>
      </c>
      <c r="C37" s="11" t="s">
        <v>1505</v>
      </c>
      <c r="D37" s="12" t="s">
        <v>1441</v>
      </c>
      <c r="E37" s="13" t="n">
        <v>36768</v>
      </c>
      <c r="F37" s="12"/>
    </row>
    <row r="38" customFormat="false" ht="15" hidden="false" customHeight="false" outlineLevel="0" collapsed="false">
      <c r="A38" s="11" t="s">
        <v>1514</v>
      </c>
      <c r="B38" s="11" t="s">
        <v>1515</v>
      </c>
      <c r="C38" s="11" t="s">
        <v>1505</v>
      </c>
      <c r="D38" s="12" t="s">
        <v>1441</v>
      </c>
      <c r="E38" s="13" t="n">
        <v>36768</v>
      </c>
      <c r="F38" s="12"/>
    </row>
    <row r="39" customFormat="false" ht="15" hidden="false" customHeight="false" outlineLevel="0" collapsed="false">
      <c r="A39" s="11" t="s">
        <v>1516</v>
      </c>
      <c r="B39" s="11" t="s">
        <v>1517</v>
      </c>
      <c r="C39" s="11" t="s">
        <v>1518</v>
      </c>
      <c r="D39" s="12" t="s">
        <v>1441</v>
      </c>
      <c r="E39" s="13" t="n">
        <v>10226</v>
      </c>
      <c r="F39" s="12"/>
    </row>
    <row r="40" customFormat="false" ht="15" hidden="false" customHeight="false" outlineLevel="0" collapsed="false">
      <c r="A40" s="11" t="s">
        <v>1519</v>
      </c>
      <c r="B40" s="11" t="s">
        <v>1520</v>
      </c>
      <c r="C40" s="11" t="s">
        <v>1518</v>
      </c>
      <c r="D40" s="12" t="s">
        <v>1441</v>
      </c>
      <c r="E40" s="13" t="n">
        <v>25969</v>
      </c>
      <c r="F40" s="12"/>
    </row>
    <row r="41" customFormat="false" ht="15" hidden="false" customHeight="false" outlineLevel="0" collapsed="false">
      <c r="A41" s="11" t="s">
        <v>1521</v>
      </c>
      <c r="B41" s="11" t="s">
        <v>1522</v>
      </c>
      <c r="C41" s="11" t="s">
        <v>1518</v>
      </c>
      <c r="D41" s="12" t="s">
        <v>1441</v>
      </c>
      <c r="E41" s="13" t="n">
        <v>33605</v>
      </c>
      <c r="F41" s="12"/>
    </row>
    <row r="42" customFormat="false" ht="15" hidden="false" customHeight="false" outlineLevel="0" collapsed="false">
      <c r="A42" s="11" t="s">
        <v>1523</v>
      </c>
      <c r="B42" s="11" t="s">
        <v>1524</v>
      </c>
      <c r="C42" s="11" t="s">
        <v>1518</v>
      </c>
      <c r="D42" s="12" t="s">
        <v>1441</v>
      </c>
      <c r="E42" s="13" t="n">
        <v>23747</v>
      </c>
      <c r="F42" s="12"/>
    </row>
    <row r="43" customFormat="false" ht="15" hidden="false" customHeight="false" outlineLevel="0" collapsed="false">
      <c r="A43" s="11" t="s">
        <v>1525</v>
      </c>
      <c r="B43" s="11" t="s">
        <v>1526</v>
      </c>
      <c r="C43" s="11" t="s">
        <v>1518</v>
      </c>
      <c r="D43" s="12" t="s">
        <v>1441</v>
      </c>
      <c r="E43" s="13" t="n">
        <v>31777</v>
      </c>
      <c r="F43" s="12"/>
    </row>
    <row r="44" customFormat="false" ht="15" hidden="false" customHeight="false" outlineLevel="0" collapsed="false">
      <c r="A44" s="11" t="s">
        <v>1527</v>
      </c>
      <c r="B44" s="11" t="s">
        <v>1528</v>
      </c>
      <c r="C44" s="11" t="s">
        <v>1518</v>
      </c>
      <c r="D44" s="12" t="s">
        <v>1441</v>
      </c>
      <c r="E44" s="13" t="n">
        <v>30684</v>
      </c>
      <c r="F44" s="12"/>
    </row>
    <row r="45" customFormat="false" ht="15" hidden="false" customHeight="false" outlineLevel="0" collapsed="false">
      <c r="A45" s="11" t="s">
        <v>1529</v>
      </c>
      <c r="B45" s="11" t="s">
        <v>1530</v>
      </c>
      <c r="C45" s="11" t="s">
        <v>1531</v>
      </c>
      <c r="D45" s="12" t="s">
        <v>1441</v>
      </c>
      <c r="E45" s="13" t="n">
        <v>25937</v>
      </c>
      <c r="F45" s="12"/>
    </row>
    <row r="46" customFormat="false" ht="15" hidden="false" customHeight="false" outlineLevel="0" collapsed="false">
      <c r="A46" s="11" t="s">
        <v>1532</v>
      </c>
      <c r="B46" s="11" t="s">
        <v>1533</v>
      </c>
      <c r="C46" s="11" t="s">
        <v>1531</v>
      </c>
      <c r="D46" s="12" t="s">
        <v>1441</v>
      </c>
      <c r="E46" s="13" t="n">
        <v>22648</v>
      </c>
      <c r="F46" s="12"/>
    </row>
    <row r="47" customFormat="false" ht="15" hidden="false" customHeight="false" outlineLevel="0" collapsed="false">
      <c r="A47" s="11" t="s">
        <v>1534</v>
      </c>
      <c r="B47" s="11" t="s">
        <v>1535</v>
      </c>
      <c r="C47" s="11" t="s">
        <v>1531</v>
      </c>
      <c r="D47" s="12" t="s">
        <v>1441</v>
      </c>
      <c r="E47" s="13" t="n">
        <v>32875</v>
      </c>
      <c r="F47" s="12"/>
    </row>
  </sheetData>
  <dataValidations count="2">
    <dataValidation allowBlank="true" errorStyle="stop" operator="between" showDropDown="false" showErrorMessage="false" showInputMessage="false" sqref="F5:F47" type="list">
      <formula1>"Include,Later,Skip"</formula1>
      <formula2>0</formula2>
    </dataValidation>
    <dataValidation allowBlank="true" errorStyle="stop" operator="between" showDropDown="false" showErrorMessage="false" showInputMessage="false" sqref="D5:D4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1536</v>
      </c>
    </row>
    <row r="3" customFormat="false" ht="30" hidden="false" customHeight="true" outlineLevel="0" collapsed="false">
      <c r="A3" s="10" t="s">
        <v>1537</v>
      </c>
      <c r="B3" s="10" t="s">
        <v>1538</v>
      </c>
      <c r="C3" s="10" t="s">
        <v>1539</v>
      </c>
      <c r="D3" s="10" t="s">
        <v>1540</v>
      </c>
    </row>
    <row r="4" customFormat="false" ht="23.85" hidden="false" customHeight="false" outlineLevel="0" collapsed="false">
      <c r="A4" s="11" t="n">
        <v>1</v>
      </c>
      <c r="B4" s="11" t="s">
        <v>1541</v>
      </c>
      <c r="C4" s="11" t="s">
        <v>1542</v>
      </c>
      <c r="D4" s="11" t="s">
        <v>1543</v>
      </c>
    </row>
    <row r="5" customFormat="false" ht="23.85" hidden="false" customHeight="false" outlineLevel="0" collapsed="false">
      <c r="A5" s="11" t="n">
        <v>2</v>
      </c>
      <c r="B5" s="11" t="s">
        <v>1544</v>
      </c>
      <c r="C5" s="11" t="s">
        <v>1545</v>
      </c>
      <c r="D5" s="11" t="s">
        <v>1546</v>
      </c>
    </row>
    <row r="6" customFormat="false" ht="23.85" hidden="false" customHeight="false" outlineLevel="0" collapsed="false">
      <c r="A6" s="11" t="n">
        <v>3</v>
      </c>
      <c r="B6" s="11" t="s">
        <v>1547</v>
      </c>
      <c r="C6" s="11" t="s">
        <v>1548</v>
      </c>
      <c r="D6" s="11" t="s">
        <v>1549</v>
      </c>
    </row>
    <row r="7" customFormat="false" ht="23.85" hidden="false" customHeight="false" outlineLevel="0" collapsed="false">
      <c r="A7" s="11" t="n">
        <v>4</v>
      </c>
      <c r="B7" s="11" t="s">
        <v>1550</v>
      </c>
      <c r="C7" s="11" t="s">
        <v>1551</v>
      </c>
      <c r="D7" s="11" t="s">
        <v>1552</v>
      </c>
    </row>
    <row r="8" customFormat="false" ht="23.85" hidden="false" customHeight="false" outlineLevel="0" collapsed="false">
      <c r="A8" s="11" t="n">
        <v>5</v>
      </c>
      <c r="B8" s="11" t="s">
        <v>1553</v>
      </c>
      <c r="C8" s="11" t="s">
        <v>1554</v>
      </c>
      <c r="D8" s="11" t="s">
        <v>1555</v>
      </c>
    </row>
    <row r="9" customFormat="false" ht="23.85" hidden="false" customHeight="false" outlineLevel="0" collapsed="false">
      <c r="A9" s="11" t="n">
        <v>6</v>
      </c>
      <c r="B9" s="11" t="s">
        <v>1556</v>
      </c>
      <c r="C9" s="11" t="s">
        <v>1557</v>
      </c>
      <c r="D9" s="11" t="s">
        <v>1558</v>
      </c>
    </row>
    <row r="10" customFormat="false" ht="23.85" hidden="false" customHeight="false" outlineLevel="0" collapsed="false">
      <c r="A10" s="11" t="n">
        <v>7</v>
      </c>
      <c r="B10" s="11" t="s">
        <v>1559</v>
      </c>
      <c r="C10" s="11" t="s">
        <v>1560</v>
      </c>
      <c r="D10" s="11" t="s">
        <v>1561</v>
      </c>
    </row>
    <row r="11" customFormat="false" ht="23.85" hidden="false" customHeight="false" outlineLevel="0" collapsed="false">
      <c r="A11" s="11" t="n">
        <v>8</v>
      </c>
      <c r="B11" s="11" t="s">
        <v>1562</v>
      </c>
      <c r="C11" s="11" t="s">
        <v>1563</v>
      </c>
      <c r="D11" s="11" t="s">
        <v>1564</v>
      </c>
    </row>
    <row r="12" customFormat="false" ht="15" hidden="false" customHeight="false" outlineLevel="0" collapsed="false">
      <c r="A12" s="11" t="n">
        <v>9</v>
      </c>
      <c r="B12" s="11" t="s">
        <v>1565</v>
      </c>
      <c r="C12" s="11" t="s">
        <v>1566</v>
      </c>
      <c r="D12" s="11" t="s">
        <v>1567</v>
      </c>
    </row>
    <row r="13" customFormat="false" ht="23.85" hidden="false" customHeight="false" outlineLevel="0" collapsed="false">
      <c r="A13" s="11" t="n">
        <v>10</v>
      </c>
      <c r="B13" s="11" t="s">
        <v>1568</v>
      </c>
      <c r="C13" s="11" t="s">
        <v>1569</v>
      </c>
      <c r="D13" s="11" t="s">
        <v>1570</v>
      </c>
    </row>
    <row r="14" customFormat="false" ht="35.05" hidden="false" customHeight="false" outlineLevel="0" collapsed="false">
      <c r="A14" s="11" t="n">
        <v>11</v>
      </c>
      <c r="B14" s="11" t="s">
        <v>1571</v>
      </c>
      <c r="C14" s="11" t="s">
        <v>1572</v>
      </c>
      <c r="D14" s="11" t="s">
        <v>1573</v>
      </c>
    </row>
    <row r="15" customFormat="false" ht="35.05" hidden="false" customHeight="false" outlineLevel="0" collapsed="false">
      <c r="A15" s="11" t="n">
        <v>12</v>
      </c>
      <c r="B15" s="11" t="s">
        <v>1574</v>
      </c>
      <c r="C15" s="11" t="s">
        <v>1575</v>
      </c>
      <c r="D15" s="11" t="s">
        <v>1576</v>
      </c>
    </row>
    <row r="16" customFormat="false" ht="23.85" hidden="false" customHeight="false" outlineLevel="0" collapsed="false">
      <c r="A16" s="11" t="n">
        <v>13</v>
      </c>
      <c r="B16" s="11" t="s">
        <v>1577</v>
      </c>
      <c r="C16" s="11" t="s">
        <v>1578</v>
      </c>
      <c r="D16" s="11" t="s">
        <v>1579</v>
      </c>
    </row>
    <row r="17" customFormat="false" ht="23.85" hidden="false" customHeight="false" outlineLevel="0" collapsed="false">
      <c r="A17" s="11" t="n">
        <v>14</v>
      </c>
      <c r="B17" s="11" t="s">
        <v>1580</v>
      </c>
      <c r="C17" s="11" t="s">
        <v>1581</v>
      </c>
      <c r="D17" s="11" t="s">
        <v>1582</v>
      </c>
    </row>
    <row r="18" customFormat="false" ht="23.85" hidden="false" customHeight="false" outlineLevel="0" collapsed="false">
      <c r="A18" s="11" t="n">
        <v>15</v>
      </c>
      <c r="B18" s="11" t="s">
        <v>1583</v>
      </c>
      <c r="C18" s="11" t="s">
        <v>1584</v>
      </c>
      <c r="D18" s="11" t="s">
        <v>1585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2026-09-11T06:34:52Z</dcterms:created>
  <dc:creator>openpyxl</dc:creator>
  <dc:description/>
  <dc:language>en-US</dc:language>
  <cp:lastModifiedBy/>
  <dcterms:modified xsi:type="dcterms:W3CDTF">2026-09-11T06:34:53Z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